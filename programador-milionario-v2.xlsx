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65817fc9f7f37c5/Desktop/"/>
    </mc:Choice>
  </mc:AlternateContent>
  <xr:revisionPtr revIDLastSave="11289" documentId="13_ncr:1_{25FFA653-8D2F-41F8-8257-02F27194280D}" xr6:coauthVersionLast="47" xr6:coauthVersionMax="47" xr10:uidLastSave="{78FD020F-EFE9-4FAD-B123-305E5E85BB6B}"/>
  <bookViews>
    <workbookView xWindow="-108" yWindow="-108" windowWidth="23256" windowHeight="12456" tabRatio="702" activeTab="1" xr2:uid="{00000000-000D-0000-FFFF-FFFF00000000}"/>
  </bookViews>
  <sheets>
    <sheet name="Planejamento 2023" sheetId="20" r:id="rId1"/>
    <sheet name="Fluxo de Caixa" sheetId="19" r:id="rId2"/>
    <sheet name="Dashboard" sheetId="2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9" l="1"/>
  <c r="H4" i="19"/>
  <c r="H5" i="19"/>
  <c r="H6" i="19"/>
  <c r="H7" i="19"/>
  <c r="H8" i="19"/>
  <c r="H9" i="19"/>
  <c r="H10" i="19"/>
  <c r="H11" i="19"/>
  <c r="I3" i="19"/>
  <c r="I4" i="19"/>
  <c r="I5" i="19"/>
  <c r="I6" i="19"/>
  <c r="I7" i="19"/>
  <c r="I8" i="19"/>
  <c r="I9" i="19"/>
  <c r="I10" i="19"/>
  <c r="I11" i="19"/>
  <c r="I12" i="19"/>
  <c r="K12" i="19"/>
  <c r="L12" i="19" s="1"/>
  <c r="C12" i="19"/>
  <c r="D12" i="19" s="1"/>
  <c r="H12" i="19"/>
  <c r="U3" i="19"/>
  <c r="W3" i="19"/>
  <c r="W2" i="19"/>
  <c r="V4" i="19"/>
  <c r="V5" i="19" s="1"/>
  <c r="V6" i="19" s="1"/>
  <c r="V7" i="19" s="1"/>
  <c r="V8" i="19" s="1"/>
  <c r="V9" i="19" s="1"/>
  <c r="V10" i="19" s="1"/>
  <c r="V11" i="19" s="1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V55" i="19" s="1"/>
  <c r="V56" i="19" s="1"/>
  <c r="V57" i="19" s="1"/>
  <c r="V58" i="19" s="1"/>
  <c r="V59" i="19" s="1"/>
  <c r="V60" i="19" s="1"/>
  <c r="V61" i="19" s="1"/>
  <c r="V62" i="19" s="1"/>
  <c r="V63" i="19" s="1"/>
  <c r="V64" i="19" s="1"/>
  <c r="V65" i="19" s="1"/>
  <c r="V66" i="19" s="1"/>
  <c r="V67" i="19" s="1"/>
  <c r="V68" i="19" s="1"/>
  <c r="V69" i="19" s="1"/>
  <c r="V70" i="19" s="1"/>
  <c r="V71" i="19" s="1"/>
  <c r="V72" i="19" s="1"/>
  <c r="V73" i="19" s="1"/>
  <c r="V74" i="19" s="1"/>
  <c r="V75" i="19" s="1"/>
  <c r="V76" i="19" s="1"/>
  <c r="V77" i="19" s="1"/>
  <c r="V78" i="19" s="1"/>
  <c r="V79" i="19" s="1"/>
  <c r="V80" i="19" s="1"/>
  <c r="V81" i="19" s="1"/>
  <c r="V82" i="19" s="1"/>
  <c r="V83" i="19" s="1"/>
  <c r="V84" i="19" s="1"/>
  <c r="V85" i="19" s="1"/>
  <c r="V86" i="19" s="1"/>
  <c r="V87" i="19" s="1"/>
  <c r="V88" i="19" s="1"/>
  <c r="V89" i="19" s="1"/>
  <c r="V90" i="19" s="1"/>
  <c r="V91" i="19" s="1"/>
  <c r="V92" i="19" s="1"/>
  <c r="V93" i="19" s="1"/>
  <c r="V94" i="19" s="1"/>
  <c r="V95" i="19" s="1"/>
  <c r="V96" i="19" s="1"/>
  <c r="V97" i="19" s="1"/>
  <c r="V98" i="19" s="1"/>
  <c r="V99" i="19" s="1"/>
  <c r="V100" i="19" s="1"/>
  <c r="V101" i="19" s="1"/>
  <c r="V102" i="19" s="1"/>
  <c r="V103" i="19" s="1"/>
  <c r="V104" i="19" s="1"/>
  <c r="V105" i="19" s="1"/>
  <c r="V106" i="19" s="1"/>
  <c r="V107" i="19" s="1"/>
  <c r="V108" i="19" s="1"/>
  <c r="V109" i="19" s="1"/>
  <c r="V110" i="19" s="1"/>
  <c r="V111" i="19" s="1"/>
  <c r="V112" i="19" s="1"/>
  <c r="V113" i="19" s="1"/>
  <c r="V114" i="19" s="1"/>
  <c r="V115" i="19" s="1"/>
  <c r="V116" i="19" s="1"/>
  <c r="V117" i="19" s="1"/>
  <c r="V118" i="19" s="1"/>
  <c r="V119" i="19" s="1"/>
  <c r="V120" i="19" s="1"/>
  <c r="V121" i="19" s="1"/>
  <c r="V122" i="19" s="1"/>
  <c r="V123" i="19" s="1"/>
  <c r="V124" i="19" s="1"/>
  <c r="V125" i="19" s="1"/>
  <c r="V126" i="19" s="1"/>
  <c r="V127" i="19" s="1"/>
  <c r="V128" i="19" s="1"/>
  <c r="V129" i="19" s="1"/>
  <c r="V130" i="19" s="1"/>
  <c r="V131" i="19" s="1"/>
  <c r="V132" i="19" s="1"/>
  <c r="V133" i="19" s="1"/>
  <c r="V134" i="19" s="1"/>
  <c r="V135" i="19" s="1"/>
  <c r="V136" i="19" s="1"/>
  <c r="V137" i="19" s="1"/>
  <c r="V138" i="19" s="1"/>
  <c r="V139" i="19" s="1"/>
  <c r="V140" i="19" s="1"/>
  <c r="V141" i="19" s="1"/>
  <c r="V142" i="19" s="1"/>
  <c r="V143" i="19" s="1"/>
  <c r="V144" i="19" s="1"/>
  <c r="V145" i="19" s="1"/>
  <c r="V3" i="19"/>
  <c r="U4" i="19"/>
  <c r="T2" i="19"/>
  <c r="T3" i="19" s="1"/>
  <c r="T4" i="19" s="1"/>
  <c r="T5" i="19" s="1"/>
  <c r="T6" i="19" s="1"/>
  <c r="T7" i="19" s="1"/>
  <c r="T8" i="19" s="1"/>
  <c r="T9" i="19" s="1"/>
  <c r="T10" i="19" s="1"/>
  <c r="T11" i="19" s="1"/>
  <c r="T12" i="19" s="1"/>
  <c r="T13" i="19" s="1"/>
  <c r="T14" i="19" s="1"/>
  <c r="T15" i="19" s="1"/>
  <c r="T16" i="19" s="1"/>
  <c r="T17" i="19" s="1"/>
  <c r="T18" i="19" s="1"/>
  <c r="T19" i="19" s="1"/>
  <c r="T20" i="19" s="1"/>
  <c r="T21" i="19" s="1"/>
  <c r="T22" i="19" s="1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T84" i="19" s="1"/>
  <c r="T85" i="19" s="1"/>
  <c r="T86" i="19" s="1"/>
  <c r="T87" i="19" s="1"/>
  <c r="T88" i="19" s="1"/>
  <c r="T89" i="19" s="1"/>
  <c r="T90" i="19" s="1"/>
  <c r="T91" i="19" s="1"/>
  <c r="T92" i="19" s="1"/>
  <c r="T93" i="19" s="1"/>
  <c r="T94" i="19" s="1"/>
  <c r="T95" i="19" s="1"/>
  <c r="T96" i="19" s="1"/>
  <c r="T97" i="19" s="1"/>
  <c r="T98" i="19" s="1"/>
  <c r="T99" i="19" s="1"/>
  <c r="T100" i="19" s="1"/>
  <c r="T101" i="19" s="1"/>
  <c r="T102" i="19" s="1"/>
  <c r="T103" i="19" s="1"/>
  <c r="T104" i="19" s="1"/>
  <c r="T105" i="19" s="1"/>
  <c r="T106" i="19" s="1"/>
  <c r="T107" i="19" s="1"/>
  <c r="T108" i="19" s="1"/>
  <c r="T109" i="19" s="1"/>
  <c r="T110" i="19" s="1"/>
  <c r="T111" i="19" s="1"/>
  <c r="T112" i="19" s="1"/>
  <c r="T113" i="19" s="1"/>
  <c r="T114" i="19" s="1"/>
  <c r="T115" i="19" s="1"/>
  <c r="T116" i="19" s="1"/>
  <c r="T117" i="19" s="1"/>
  <c r="T118" i="19" s="1"/>
  <c r="T119" i="19" s="1"/>
  <c r="T120" i="19" s="1"/>
  <c r="T121" i="19" s="1"/>
  <c r="T122" i="19" s="1"/>
  <c r="T123" i="19" s="1"/>
  <c r="T124" i="19" s="1"/>
  <c r="T125" i="19" s="1"/>
  <c r="T126" i="19" s="1"/>
  <c r="T127" i="19" s="1"/>
  <c r="T128" i="19" s="1"/>
  <c r="T129" i="19" s="1"/>
  <c r="T130" i="19" s="1"/>
  <c r="T131" i="19" s="1"/>
  <c r="T132" i="19" s="1"/>
  <c r="T133" i="19" s="1"/>
  <c r="T134" i="19" s="1"/>
  <c r="T135" i="19" s="1"/>
  <c r="T136" i="19" s="1"/>
  <c r="T137" i="19" s="1"/>
  <c r="T138" i="19" s="1"/>
  <c r="T139" i="19" s="1"/>
  <c r="T140" i="19" s="1"/>
  <c r="T141" i="19" s="1"/>
  <c r="T142" i="19" s="1"/>
  <c r="T143" i="19" s="1"/>
  <c r="T144" i="19" s="1"/>
  <c r="T145" i="19" s="1"/>
  <c r="Q2" i="19"/>
  <c r="K11" i="19"/>
  <c r="K10" i="19"/>
  <c r="K9" i="19"/>
  <c r="K8" i="19"/>
  <c r="K7" i="19"/>
  <c r="K6" i="19"/>
  <c r="K5" i="19"/>
  <c r="K4" i="19"/>
  <c r="K3" i="19"/>
  <c r="S2" i="19"/>
  <c r="Q3" i="19" s="1"/>
  <c r="F3" i="19"/>
  <c r="G3" i="19" s="1"/>
  <c r="P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D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K2" i="19"/>
  <c r="L2" i="19" s="1"/>
  <c r="C3" i="19"/>
  <c r="D3" i="19" s="1"/>
  <c r="P145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2" i="19"/>
  <c r="G12" i="19" s="1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D8" i="20"/>
  <c r="D10" i="20"/>
  <c r="E34" i="20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D5" i="20"/>
  <c r="D52" i="20" s="1"/>
  <c r="X2" i="19" l="1"/>
  <c r="U5" i="19"/>
  <c r="W4" i="19"/>
  <c r="F9" i="19"/>
  <c r="G9" i="19" s="1"/>
  <c r="F6" i="19"/>
  <c r="G6" i="19" s="1"/>
  <c r="F10" i="19"/>
  <c r="G10" i="19" s="1"/>
  <c r="F11" i="19"/>
  <c r="G11" i="19" s="1"/>
  <c r="F5" i="19"/>
  <c r="G5" i="19" s="1"/>
  <c r="F8" i="19"/>
  <c r="G8" i="19" s="1"/>
  <c r="F7" i="19"/>
  <c r="G7" i="19" s="1"/>
  <c r="L3" i="19"/>
  <c r="F4" i="19"/>
  <c r="G4" i="19" s="1"/>
  <c r="L11" i="19"/>
  <c r="E11" i="20"/>
  <c r="D11" i="20" s="1"/>
  <c r="L4" i="19"/>
  <c r="C11" i="19"/>
  <c r="D11" i="19" s="1"/>
  <c r="O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D34" i="20"/>
  <c r="E33" i="20"/>
  <c r="D33" i="20" s="1"/>
  <c r="E41" i="20"/>
  <c r="D41" i="20" s="1"/>
  <c r="D23" i="20"/>
  <c r="D29" i="20"/>
  <c r="D30" i="20"/>
  <c r="D32" i="20"/>
  <c r="D40" i="20"/>
  <c r="D18" i="20"/>
  <c r="D17" i="20"/>
  <c r="D31" i="20"/>
  <c r="D48" i="20"/>
  <c r="D15" i="20"/>
  <c r="D39" i="20"/>
  <c r="D42" i="20"/>
  <c r="D49" i="20"/>
  <c r="D43" i="20"/>
  <c r="U6" i="19" l="1"/>
  <c r="W5" i="19"/>
  <c r="C6" i="19"/>
  <c r="D6" i="19" s="1"/>
  <c r="C10" i="19"/>
  <c r="D10" i="19" s="1"/>
  <c r="C8" i="19"/>
  <c r="D8" i="19" s="1"/>
  <c r="C9" i="19"/>
  <c r="D9" i="19" s="1"/>
  <c r="C7" i="19"/>
  <c r="D7" i="19" s="1"/>
  <c r="L6" i="19"/>
  <c r="L10" i="19"/>
  <c r="L5" i="19"/>
  <c r="C4" i="19"/>
  <c r="D4" i="19" s="1"/>
  <c r="C5" i="19"/>
  <c r="D5" i="19" s="1"/>
  <c r="L9" i="19"/>
  <c r="L8" i="19"/>
  <c r="L7" i="19"/>
  <c r="S3" i="19"/>
  <c r="D50" i="20"/>
  <c r="D53" i="20" s="1"/>
  <c r="D54" i="20" s="1"/>
  <c r="Q4" i="19" l="1"/>
  <c r="S4" i="19" s="1"/>
  <c r="X3" i="19"/>
  <c r="U7" i="19"/>
  <c r="W6" i="19"/>
  <c r="Q5" i="19" l="1"/>
  <c r="S5" i="19" s="1"/>
  <c r="X4" i="19"/>
  <c r="U8" i="19"/>
  <c r="W7" i="19"/>
  <c r="Q6" i="19" l="1"/>
  <c r="S6" i="19" s="1"/>
  <c r="X5" i="19"/>
  <c r="U9" i="19"/>
  <c r="W8" i="19"/>
  <c r="Q7" i="19" l="1"/>
  <c r="S7" i="19" s="1"/>
  <c r="X6" i="19"/>
  <c r="U10" i="19"/>
  <c r="W9" i="19"/>
  <c r="Q8" i="19" l="1"/>
  <c r="S8" i="19" s="1"/>
  <c r="X7" i="19"/>
  <c r="U11" i="19"/>
  <c r="W10" i="19"/>
  <c r="Q9" i="19" l="1"/>
  <c r="S9" i="19" s="1"/>
  <c r="X8" i="19"/>
  <c r="U12" i="19"/>
  <c r="W11" i="19"/>
  <c r="U13" i="19" l="1"/>
  <c r="W12" i="19"/>
  <c r="Q10" i="19"/>
  <c r="X9" i="19"/>
  <c r="S10" i="19"/>
  <c r="Q11" i="19" l="1"/>
  <c r="S11" i="19" s="1"/>
  <c r="X10" i="19"/>
  <c r="U14" i="19"/>
  <c r="W13" i="19"/>
  <c r="U15" i="19" l="1"/>
  <c r="W14" i="19"/>
  <c r="Q12" i="19"/>
  <c r="X11" i="19"/>
  <c r="S12" i="19"/>
  <c r="Q13" i="19" l="1"/>
  <c r="S13" i="19" s="1"/>
  <c r="X12" i="19"/>
  <c r="U16" i="19"/>
  <c r="W15" i="19"/>
  <c r="Q14" i="19" l="1"/>
  <c r="S14" i="19" s="1"/>
  <c r="X13" i="19"/>
  <c r="U17" i="19"/>
  <c r="W16" i="19"/>
  <c r="Q15" i="19" l="1"/>
  <c r="X14" i="19"/>
  <c r="U18" i="19"/>
  <c r="W17" i="19"/>
  <c r="S15" i="19"/>
  <c r="Q16" i="19" l="1"/>
  <c r="S16" i="19" s="1"/>
  <c r="X15" i="19"/>
  <c r="U19" i="19"/>
  <c r="W18" i="19"/>
  <c r="Q17" i="19" l="1"/>
  <c r="X16" i="19"/>
  <c r="U20" i="19"/>
  <c r="W19" i="19"/>
  <c r="S17" i="19"/>
  <c r="Q18" i="19" l="1"/>
  <c r="S18" i="19" s="1"/>
  <c r="X17" i="19"/>
  <c r="U21" i="19"/>
  <c r="W20" i="19"/>
  <c r="Q19" i="19" l="1"/>
  <c r="S19" i="19" s="1"/>
  <c r="X18" i="19"/>
  <c r="U22" i="19"/>
  <c r="W21" i="19"/>
  <c r="U23" i="19" l="1"/>
  <c r="W22" i="19"/>
  <c r="Q20" i="19"/>
  <c r="S20" i="19" s="1"/>
  <c r="X19" i="19"/>
  <c r="Q21" i="19" l="1"/>
  <c r="S21" i="19" s="1"/>
  <c r="X20" i="19"/>
  <c r="U24" i="19"/>
  <c r="W23" i="19"/>
  <c r="U25" i="19" l="1"/>
  <c r="W24" i="19"/>
  <c r="Q22" i="19"/>
  <c r="X21" i="19"/>
  <c r="S22" i="19"/>
  <c r="Q23" i="19" l="1"/>
  <c r="X22" i="19"/>
  <c r="S23" i="19"/>
  <c r="U26" i="19"/>
  <c r="W25" i="19"/>
  <c r="U27" i="19" l="1"/>
  <c r="W26" i="19"/>
  <c r="Q24" i="19"/>
  <c r="X23" i="19"/>
  <c r="S24" i="19"/>
  <c r="Q25" i="19" l="1"/>
  <c r="X24" i="19"/>
  <c r="S25" i="19"/>
  <c r="U28" i="19"/>
  <c r="W27" i="19"/>
  <c r="U29" i="19" l="1"/>
  <c r="W28" i="19"/>
  <c r="Q26" i="19"/>
  <c r="S26" i="19" s="1"/>
  <c r="X25" i="19"/>
  <c r="Q27" i="19" l="1"/>
  <c r="X26" i="19"/>
  <c r="S27" i="19"/>
  <c r="U30" i="19"/>
  <c r="W29" i="19"/>
  <c r="Q28" i="19" l="1"/>
  <c r="X27" i="19"/>
  <c r="U31" i="19"/>
  <c r="W30" i="19"/>
  <c r="S28" i="19"/>
  <c r="U32" i="19" l="1"/>
  <c r="W31" i="19"/>
  <c r="Q29" i="19"/>
  <c r="X28" i="19"/>
  <c r="S29" i="19"/>
  <c r="Q30" i="19" l="1"/>
  <c r="X29" i="19"/>
  <c r="S30" i="19"/>
  <c r="U33" i="19"/>
  <c r="W32" i="19"/>
  <c r="U34" i="19" l="1"/>
  <c r="W33" i="19"/>
  <c r="Q31" i="19"/>
  <c r="X30" i="19"/>
  <c r="S31" i="19"/>
  <c r="Q32" i="19" l="1"/>
  <c r="X31" i="19"/>
  <c r="S32" i="19"/>
  <c r="U35" i="19"/>
  <c r="W34" i="19"/>
  <c r="U36" i="19" l="1"/>
  <c r="W35" i="19"/>
  <c r="Q33" i="19"/>
  <c r="X32" i="19"/>
  <c r="S33" i="19"/>
  <c r="Q34" i="19" l="1"/>
  <c r="X33" i="19"/>
  <c r="S34" i="19"/>
  <c r="U37" i="19"/>
  <c r="W36" i="19"/>
  <c r="U38" i="19" l="1"/>
  <c r="W37" i="19"/>
  <c r="Q35" i="19"/>
  <c r="X34" i="19"/>
  <c r="S35" i="19"/>
  <c r="Q36" i="19" l="1"/>
  <c r="S36" i="19" s="1"/>
  <c r="X35" i="19"/>
  <c r="U39" i="19"/>
  <c r="W38" i="19"/>
  <c r="U40" i="19" l="1"/>
  <c r="W39" i="19"/>
  <c r="Q37" i="19"/>
  <c r="X36" i="19"/>
  <c r="S37" i="19"/>
  <c r="Q38" i="19" l="1"/>
  <c r="S38" i="19" s="1"/>
  <c r="X37" i="19"/>
  <c r="U41" i="19"/>
  <c r="W40" i="19"/>
  <c r="Q39" i="19" l="1"/>
  <c r="S39" i="19" s="1"/>
  <c r="X38" i="19"/>
  <c r="U42" i="19"/>
  <c r="W41" i="19"/>
  <c r="U43" i="19" l="1"/>
  <c r="W42" i="19"/>
  <c r="Q40" i="19"/>
  <c r="X39" i="19"/>
  <c r="S40" i="19"/>
  <c r="Q41" i="19" l="1"/>
  <c r="S41" i="19" s="1"/>
  <c r="X40" i="19"/>
  <c r="U44" i="19"/>
  <c r="W43" i="19"/>
  <c r="U45" i="19" l="1"/>
  <c r="W44" i="19"/>
  <c r="Q42" i="19"/>
  <c r="X41" i="19"/>
  <c r="S42" i="19"/>
  <c r="Q43" i="19" l="1"/>
  <c r="X42" i="19"/>
  <c r="S43" i="19"/>
  <c r="U46" i="19"/>
  <c r="W45" i="19"/>
  <c r="U47" i="19" l="1"/>
  <c r="W46" i="19"/>
  <c r="Q44" i="19"/>
  <c r="S44" i="19" s="1"/>
  <c r="X43" i="19"/>
  <c r="Q45" i="19" l="1"/>
  <c r="S45" i="19" s="1"/>
  <c r="X44" i="19"/>
  <c r="U48" i="19"/>
  <c r="W47" i="19"/>
  <c r="Q46" i="19" l="1"/>
  <c r="X45" i="19"/>
  <c r="U49" i="19"/>
  <c r="W48" i="19"/>
  <c r="S46" i="19"/>
  <c r="Q47" i="19" l="1"/>
  <c r="S47" i="19" s="1"/>
  <c r="X46" i="19"/>
  <c r="U50" i="19"/>
  <c r="W49" i="19"/>
  <c r="U51" i="19" l="1"/>
  <c r="W50" i="19"/>
  <c r="Q48" i="19"/>
  <c r="X47" i="19"/>
  <c r="S48" i="19"/>
  <c r="Q49" i="19" l="1"/>
  <c r="S49" i="19" s="1"/>
  <c r="X48" i="19"/>
  <c r="U52" i="19"/>
  <c r="W51" i="19"/>
  <c r="U53" i="19" l="1"/>
  <c r="W52" i="19"/>
  <c r="Q50" i="19"/>
  <c r="X49" i="19"/>
  <c r="S50" i="19"/>
  <c r="Q51" i="19" l="1"/>
  <c r="S51" i="19" s="1"/>
  <c r="X50" i="19"/>
  <c r="U54" i="19"/>
  <c r="W53" i="19"/>
  <c r="U55" i="19" l="1"/>
  <c r="W54" i="19"/>
  <c r="Q52" i="19"/>
  <c r="X51" i="19"/>
  <c r="S52" i="19"/>
  <c r="Q53" i="19" l="1"/>
  <c r="S53" i="19" s="1"/>
  <c r="X52" i="19"/>
  <c r="U56" i="19"/>
  <c r="W55" i="19"/>
  <c r="U57" i="19" l="1"/>
  <c r="W56" i="19"/>
  <c r="Q54" i="19"/>
  <c r="X53" i="19"/>
  <c r="S54" i="19"/>
  <c r="Q55" i="19" l="1"/>
  <c r="S55" i="19" s="1"/>
  <c r="X54" i="19"/>
  <c r="U58" i="19"/>
  <c r="W57" i="19"/>
  <c r="Q56" i="19" l="1"/>
  <c r="S56" i="19" s="1"/>
  <c r="X55" i="19"/>
  <c r="U59" i="19"/>
  <c r="W58" i="19"/>
  <c r="Q57" i="19" l="1"/>
  <c r="X56" i="19"/>
  <c r="U60" i="19"/>
  <c r="W59" i="19"/>
  <c r="S57" i="19"/>
  <c r="Q58" i="19" l="1"/>
  <c r="S58" i="19" s="1"/>
  <c r="X57" i="19"/>
  <c r="U61" i="19"/>
  <c r="W60" i="19"/>
  <c r="U62" i="19" l="1"/>
  <c r="W61" i="19"/>
  <c r="Q59" i="19"/>
  <c r="X58" i="19"/>
  <c r="S59" i="19"/>
  <c r="Q60" i="19" l="1"/>
  <c r="X59" i="19"/>
  <c r="S60" i="19"/>
  <c r="U63" i="19"/>
  <c r="W62" i="19"/>
  <c r="U64" i="19" l="1"/>
  <c r="W63" i="19"/>
  <c r="Q61" i="19"/>
  <c r="X60" i="19"/>
  <c r="S61" i="19"/>
  <c r="Q62" i="19" l="1"/>
  <c r="X61" i="19"/>
  <c r="S62" i="19"/>
  <c r="U65" i="19"/>
  <c r="W64" i="19"/>
  <c r="U66" i="19" l="1"/>
  <c r="W65" i="19"/>
  <c r="Q63" i="19"/>
  <c r="X62" i="19"/>
  <c r="S63" i="19"/>
  <c r="Q64" i="19" l="1"/>
  <c r="X63" i="19"/>
  <c r="S64" i="19"/>
  <c r="U67" i="19"/>
  <c r="W66" i="19"/>
  <c r="U68" i="19" l="1"/>
  <c r="W67" i="19"/>
  <c r="Q65" i="19"/>
  <c r="X64" i="19"/>
  <c r="S65" i="19"/>
  <c r="Q66" i="19" l="1"/>
  <c r="X65" i="19"/>
  <c r="S66" i="19"/>
  <c r="U69" i="19"/>
  <c r="W68" i="19"/>
  <c r="U70" i="19" l="1"/>
  <c r="W69" i="19"/>
  <c r="Q67" i="19"/>
  <c r="X66" i="19"/>
  <c r="S67" i="19"/>
  <c r="Q68" i="19" l="1"/>
  <c r="X67" i="19"/>
  <c r="S68" i="19"/>
  <c r="U71" i="19"/>
  <c r="W70" i="19"/>
  <c r="U72" i="19" l="1"/>
  <c r="W71" i="19"/>
  <c r="Q69" i="19"/>
  <c r="X68" i="19"/>
  <c r="S69" i="19"/>
  <c r="Q70" i="19" l="1"/>
  <c r="X69" i="19"/>
  <c r="S70" i="19"/>
  <c r="U73" i="19"/>
  <c r="W72" i="19"/>
  <c r="Q71" i="19" l="1"/>
  <c r="X70" i="19"/>
  <c r="U74" i="19"/>
  <c r="W73" i="19"/>
  <c r="S71" i="19"/>
  <c r="U75" i="19" l="1"/>
  <c r="W74" i="19"/>
  <c r="Q72" i="19"/>
  <c r="X71" i="19"/>
  <c r="S72" i="19"/>
  <c r="Q73" i="19" l="1"/>
  <c r="X72" i="19"/>
  <c r="S73" i="19"/>
  <c r="U76" i="19"/>
  <c r="W75" i="19"/>
  <c r="U77" i="19" l="1"/>
  <c r="W76" i="19"/>
  <c r="Q74" i="19"/>
  <c r="X73" i="19"/>
  <c r="S74" i="19"/>
  <c r="Q75" i="19" l="1"/>
  <c r="X74" i="19"/>
  <c r="S75" i="19"/>
  <c r="U78" i="19"/>
  <c r="W77" i="19"/>
  <c r="U79" i="19" l="1"/>
  <c r="W78" i="19"/>
  <c r="Q76" i="19"/>
  <c r="X75" i="19"/>
  <c r="S76" i="19"/>
  <c r="Q77" i="19" l="1"/>
  <c r="X76" i="19"/>
  <c r="S77" i="19"/>
  <c r="U80" i="19"/>
  <c r="W79" i="19"/>
  <c r="U81" i="19" l="1"/>
  <c r="W80" i="19"/>
  <c r="Q78" i="19"/>
  <c r="X77" i="19"/>
  <c r="S78" i="19"/>
  <c r="Q79" i="19" l="1"/>
  <c r="X78" i="19"/>
  <c r="S79" i="19"/>
  <c r="U82" i="19"/>
  <c r="W81" i="19"/>
  <c r="U83" i="19" l="1"/>
  <c r="W82" i="19"/>
  <c r="Q80" i="19"/>
  <c r="X79" i="19"/>
  <c r="S80" i="19"/>
  <c r="Q81" i="19" l="1"/>
  <c r="S81" i="19" s="1"/>
  <c r="X80" i="19"/>
  <c r="U84" i="19"/>
  <c r="W83" i="19"/>
  <c r="U85" i="19" l="1"/>
  <c r="W84" i="19"/>
  <c r="Q82" i="19"/>
  <c r="X81" i="19"/>
  <c r="S82" i="19"/>
  <c r="Q83" i="19" l="1"/>
  <c r="S83" i="19" s="1"/>
  <c r="X82" i="19"/>
  <c r="U86" i="19"/>
  <c r="W85" i="19"/>
  <c r="U87" i="19" l="1"/>
  <c r="W86" i="19"/>
  <c r="Q84" i="19"/>
  <c r="S84" i="19" s="1"/>
  <c r="X83" i="19"/>
  <c r="Q85" i="19" l="1"/>
  <c r="X84" i="19"/>
  <c r="S85" i="19"/>
  <c r="U88" i="19"/>
  <c r="W87" i="19"/>
  <c r="U89" i="19" l="1"/>
  <c r="W88" i="19"/>
  <c r="Q86" i="19"/>
  <c r="X85" i="19"/>
  <c r="S86" i="19"/>
  <c r="Q87" i="19" l="1"/>
  <c r="X86" i="19"/>
  <c r="S87" i="19"/>
  <c r="U90" i="19"/>
  <c r="W89" i="19"/>
  <c r="U91" i="19" l="1"/>
  <c r="W90" i="19"/>
  <c r="Q88" i="19"/>
  <c r="X87" i="19"/>
  <c r="S88" i="19"/>
  <c r="Q89" i="19" l="1"/>
  <c r="X88" i="19"/>
  <c r="S89" i="19"/>
  <c r="U92" i="19"/>
  <c r="W91" i="19"/>
  <c r="U93" i="19" l="1"/>
  <c r="W92" i="19"/>
  <c r="Q90" i="19"/>
  <c r="S90" i="19" s="1"/>
  <c r="X89" i="19"/>
  <c r="Q91" i="19" l="1"/>
  <c r="S91" i="19" s="1"/>
  <c r="X90" i="19"/>
  <c r="U94" i="19"/>
  <c r="W93" i="19"/>
  <c r="U95" i="19" l="1"/>
  <c r="W94" i="19"/>
  <c r="Q92" i="19"/>
  <c r="S92" i="19" s="1"/>
  <c r="X91" i="19"/>
  <c r="Q93" i="19" l="1"/>
  <c r="S93" i="19" s="1"/>
  <c r="X92" i="19"/>
  <c r="U96" i="19"/>
  <c r="W95" i="19"/>
  <c r="U97" i="19" l="1"/>
  <c r="W96" i="19"/>
  <c r="Q94" i="19"/>
  <c r="X93" i="19"/>
  <c r="S94" i="19"/>
  <c r="Q95" i="19" l="1"/>
  <c r="X94" i="19"/>
  <c r="S95" i="19"/>
  <c r="U98" i="19"/>
  <c r="W97" i="19"/>
  <c r="U99" i="19" l="1"/>
  <c r="W98" i="19"/>
  <c r="Q96" i="19"/>
  <c r="X95" i="19"/>
  <c r="S96" i="19"/>
  <c r="Q97" i="19" l="1"/>
  <c r="X96" i="19"/>
  <c r="S97" i="19"/>
  <c r="U100" i="19"/>
  <c r="W99" i="19"/>
  <c r="U101" i="19" l="1"/>
  <c r="W100" i="19"/>
  <c r="Q98" i="19"/>
  <c r="X97" i="19"/>
  <c r="S98" i="19"/>
  <c r="Q99" i="19" l="1"/>
  <c r="X98" i="19"/>
  <c r="S99" i="19"/>
  <c r="U102" i="19"/>
  <c r="W101" i="19"/>
  <c r="U103" i="19" l="1"/>
  <c r="W102" i="19"/>
  <c r="Q100" i="19"/>
  <c r="S100" i="19" s="1"/>
  <c r="X99" i="19"/>
  <c r="Q101" i="19" l="1"/>
  <c r="S101" i="19" s="1"/>
  <c r="X100" i="19"/>
  <c r="U104" i="19"/>
  <c r="W103" i="19"/>
  <c r="U105" i="19" l="1"/>
  <c r="W104" i="19"/>
  <c r="Q102" i="19"/>
  <c r="S102" i="19" s="1"/>
  <c r="X101" i="19"/>
  <c r="Q103" i="19" l="1"/>
  <c r="S103" i="19" s="1"/>
  <c r="X102" i="19"/>
  <c r="U106" i="19"/>
  <c r="W105" i="19"/>
  <c r="U107" i="19" l="1"/>
  <c r="W106" i="19"/>
  <c r="Q104" i="19"/>
  <c r="S104" i="19" s="1"/>
  <c r="X103" i="19"/>
  <c r="Q105" i="19" l="1"/>
  <c r="X104" i="19"/>
  <c r="S105" i="19"/>
  <c r="U108" i="19"/>
  <c r="W107" i="19"/>
  <c r="U109" i="19" l="1"/>
  <c r="W108" i="19"/>
  <c r="Q106" i="19"/>
  <c r="X105" i="19"/>
  <c r="S106" i="19"/>
  <c r="Q107" i="19" l="1"/>
  <c r="X106" i="19"/>
  <c r="S107" i="19"/>
  <c r="U110" i="19"/>
  <c r="W109" i="19"/>
  <c r="U111" i="19" l="1"/>
  <c r="W110" i="19"/>
  <c r="Q108" i="19"/>
  <c r="X107" i="19"/>
  <c r="S108" i="19"/>
  <c r="Q109" i="19" l="1"/>
  <c r="X108" i="19"/>
  <c r="S109" i="19"/>
  <c r="U112" i="19"/>
  <c r="W111" i="19"/>
  <c r="U113" i="19" l="1"/>
  <c r="W112" i="19"/>
  <c r="Q110" i="19"/>
  <c r="S110" i="19" s="1"/>
  <c r="X109" i="19"/>
  <c r="Q111" i="19" l="1"/>
  <c r="X110" i="19"/>
  <c r="S111" i="19"/>
  <c r="U114" i="19"/>
  <c r="W113" i="19"/>
  <c r="U115" i="19" l="1"/>
  <c r="W114" i="19"/>
  <c r="Q112" i="19"/>
  <c r="S112" i="19" s="1"/>
  <c r="X111" i="19"/>
  <c r="Q113" i="19" l="1"/>
  <c r="X112" i="19"/>
  <c r="S113" i="19"/>
  <c r="U116" i="19"/>
  <c r="W115" i="19"/>
  <c r="U117" i="19" l="1"/>
  <c r="W116" i="19"/>
  <c r="Q114" i="19"/>
  <c r="X113" i="19"/>
  <c r="S114" i="19"/>
  <c r="Q115" i="19" l="1"/>
  <c r="S115" i="19" s="1"/>
  <c r="X114" i="19"/>
  <c r="U118" i="19"/>
  <c r="W117" i="19"/>
  <c r="U119" i="19" l="1"/>
  <c r="W118" i="19"/>
  <c r="Q116" i="19"/>
  <c r="X115" i="19"/>
  <c r="S116" i="19"/>
  <c r="Q117" i="19" l="1"/>
  <c r="X116" i="19"/>
  <c r="S117" i="19"/>
  <c r="U120" i="19"/>
  <c r="W119" i="19"/>
  <c r="U121" i="19" l="1"/>
  <c r="W120" i="19"/>
  <c r="Q118" i="19"/>
  <c r="X117" i="19"/>
  <c r="S118" i="19"/>
  <c r="Q119" i="19" l="1"/>
  <c r="X118" i="19"/>
  <c r="S119" i="19"/>
  <c r="U122" i="19"/>
  <c r="W121" i="19"/>
  <c r="U123" i="19" l="1"/>
  <c r="W122" i="19"/>
  <c r="Q120" i="19"/>
  <c r="X119" i="19"/>
  <c r="S120" i="19"/>
  <c r="Q121" i="19" l="1"/>
  <c r="X120" i="19"/>
  <c r="S121" i="19"/>
  <c r="U124" i="19"/>
  <c r="W123" i="19"/>
  <c r="U125" i="19" l="1"/>
  <c r="W124" i="19"/>
  <c r="Q122" i="19"/>
  <c r="X121" i="19"/>
  <c r="S122" i="19"/>
  <c r="Q123" i="19" l="1"/>
  <c r="X122" i="19"/>
  <c r="S123" i="19"/>
  <c r="U126" i="19"/>
  <c r="W125" i="19"/>
  <c r="Q124" i="19" l="1"/>
  <c r="S124" i="19" s="1"/>
  <c r="X123" i="19"/>
  <c r="U127" i="19"/>
  <c r="W126" i="19"/>
  <c r="U128" i="19" l="1"/>
  <c r="W127" i="19"/>
  <c r="Q125" i="19"/>
  <c r="X124" i="19"/>
  <c r="S125" i="19"/>
  <c r="Q126" i="19" l="1"/>
  <c r="S126" i="19" s="1"/>
  <c r="X125" i="19"/>
  <c r="U129" i="19"/>
  <c r="W128" i="19"/>
  <c r="Q127" i="19" l="1"/>
  <c r="S127" i="19" s="1"/>
  <c r="X126" i="19"/>
  <c r="U130" i="19"/>
  <c r="W129" i="19"/>
  <c r="U131" i="19" l="1"/>
  <c r="W130" i="19"/>
  <c r="Q128" i="19"/>
  <c r="X127" i="19"/>
  <c r="S128" i="19"/>
  <c r="Q129" i="19" l="1"/>
  <c r="X128" i="19"/>
  <c r="S129" i="19"/>
  <c r="U132" i="19"/>
  <c r="W131" i="19"/>
  <c r="U133" i="19" l="1"/>
  <c r="W132" i="19"/>
  <c r="Q130" i="19"/>
  <c r="X129" i="19"/>
  <c r="S130" i="19"/>
  <c r="Q131" i="19" l="1"/>
  <c r="X130" i="19"/>
  <c r="S131" i="19"/>
  <c r="U134" i="19"/>
  <c r="W133" i="19"/>
  <c r="Q132" i="19" l="1"/>
  <c r="X131" i="19"/>
  <c r="U135" i="19"/>
  <c r="W134" i="19"/>
  <c r="S132" i="19"/>
  <c r="Q133" i="19" l="1"/>
  <c r="S133" i="19" s="1"/>
  <c r="X132" i="19"/>
  <c r="U136" i="19"/>
  <c r="W135" i="19"/>
  <c r="Q134" i="19" l="1"/>
  <c r="S134" i="19" s="1"/>
  <c r="X133" i="19"/>
  <c r="U137" i="19"/>
  <c r="W136" i="19"/>
  <c r="Q135" i="19" l="1"/>
  <c r="S135" i="19" s="1"/>
  <c r="X134" i="19"/>
  <c r="U138" i="19"/>
  <c r="W137" i="19"/>
  <c r="Q136" i="19" l="1"/>
  <c r="X135" i="19"/>
  <c r="U139" i="19"/>
  <c r="W138" i="19"/>
  <c r="S136" i="19"/>
  <c r="Q137" i="19" l="1"/>
  <c r="X136" i="19"/>
  <c r="U140" i="19"/>
  <c r="W139" i="19"/>
  <c r="S137" i="19"/>
  <c r="Q138" i="19" l="1"/>
  <c r="X137" i="19"/>
  <c r="U141" i="19"/>
  <c r="W140" i="19"/>
  <c r="S138" i="19"/>
  <c r="Q139" i="19" l="1"/>
  <c r="X138" i="19"/>
  <c r="U142" i="19"/>
  <c r="W141" i="19"/>
  <c r="S139" i="19"/>
  <c r="Q140" i="19" l="1"/>
  <c r="S140" i="19" s="1"/>
  <c r="X139" i="19"/>
  <c r="U143" i="19"/>
  <c r="W142" i="19"/>
  <c r="Q141" i="19" l="1"/>
  <c r="S141" i="19" s="1"/>
  <c r="X140" i="19"/>
  <c r="U144" i="19"/>
  <c r="W143" i="19"/>
  <c r="Q142" i="19" l="1"/>
  <c r="X141" i="19"/>
  <c r="U145" i="19"/>
  <c r="W145" i="19" s="1"/>
  <c r="W144" i="19"/>
  <c r="S142" i="19"/>
  <c r="Q143" i="19" l="1"/>
  <c r="X142" i="19"/>
  <c r="S143" i="19"/>
  <c r="Q144" i="19" l="1"/>
  <c r="S144" i="19" s="1"/>
  <c r="X143" i="19"/>
  <c r="Q145" i="19" l="1"/>
  <c r="S145" i="19" s="1"/>
  <c r="X145" i="19" s="1"/>
  <c r="X144" i="19"/>
</calcChain>
</file>

<file path=xl/sharedStrings.xml><?xml version="1.0" encoding="utf-8"?>
<sst xmlns="http://schemas.openxmlformats.org/spreadsheetml/2006/main" count="125" uniqueCount="83">
  <si>
    <t>IPTU</t>
  </si>
  <si>
    <t>Categoria</t>
  </si>
  <si>
    <t>Água</t>
  </si>
  <si>
    <t>Condomínio</t>
  </si>
  <si>
    <t>Mercado</t>
  </si>
  <si>
    <t>IPVA</t>
  </si>
  <si>
    <t>Sem Parar</t>
  </si>
  <si>
    <t>DPVAT + Seguro Obrigatório</t>
  </si>
  <si>
    <t>Despesa</t>
  </si>
  <si>
    <t>Pedágios e Estacionamentos</t>
  </si>
  <si>
    <t>Data</t>
  </si>
  <si>
    <t>Casa</t>
  </si>
  <si>
    <t>Cuidados Pessoais</t>
  </si>
  <si>
    <t>Uber</t>
  </si>
  <si>
    <t>Transporte</t>
  </si>
  <si>
    <t>Entretenimento</t>
  </si>
  <si>
    <t>Internet Vivo</t>
  </si>
  <si>
    <t>Refil filtro água a cada 6 meses</t>
  </si>
  <si>
    <t>Seguro Carro - Porto</t>
  </si>
  <si>
    <t>Seguro da Casa - Porto</t>
  </si>
  <si>
    <t>iFood 1x semana</t>
  </si>
  <si>
    <t>YouTube Premium</t>
  </si>
  <si>
    <t>Spotify Premium</t>
  </si>
  <si>
    <t>Aporte Realizado</t>
  </si>
  <si>
    <t>Rendimento Realizado R$</t>
  </si>
  <si>
    <t>Rendimento Realizado %</t>
  </si>
  <si>
    <t>Rendimento Previsto R$</t>
  </si>
  <si>
    <t>Rendimento Previsto %</t>
  </si>
  <si>
    <t>Geração Caixa Previsto</t>
  </si>
  <si>
    <t>Despesa Previsto</t>
  </si>
  <si>
    <t>Receita Previsto</t>
  </si>
  <si>
    <t>Geração de Caixa Realizado</t>
  </si>
  <si>
    <t>Despesa Realizado</t>
  </si>
  <si>
    <t>Receita Realizado</t>
  </si>
  <si>
    <t>Geração de Caixa Mensal 2023</t>
  </si>
  <si>
    <t>Receita Mensal 2023</t>
  </si>
  <si>
    <t>Despesa Mensal 2023</t>
  </si>
  <si>
    <t>Receita</t>
  </si>
  <si>
    <t>Faxina 2x mês</t>
  </si>
  <si>
    <t>Valor Mensal</t>
  </si>
  <si>
    <t>Licenciamento</t>
  </si>
  <si>
    <t>Energia</t>
  </si>
  <si>
    <t>Trabalho</t>
  </si>
  <si>
    <t>Almoço de Domingo 1x semana</t>
  </si>
  <si>
    <t>Comer Fora 1x semana</t>
  </si>
  <si>
    <t>Jardineiro a cada 2 meses</t>
  </si>
  <si>
    <t>10 Presentes no ano</t>
  </si>
  <si>
    <t>Lavagem 1x mês</t>
  </si>
  <si>
    <t>Aporte Previsto</t>
  </si>
  <si>
    <t>Lavanderia</t>
  </si>
  <si>
    <t>Whey e Creatina</t>
  </si>
  <si>
    <t>Valor Anual</t>
  </si>
  <si>
    <t>Produtos cosméticos</t>
  </si>
  <si>
    <t>Roupas</t>
  </si>
  <si>
    <t>Exames Médicos e Consultas</t>
  </si>
  <si>
    <t>Remédios</t>
  </si>
  <si>
    <t>Salão, unha, cabelo, sobrancelha</t>
  </si>
  <si>
    <t>Academia</t>
  </si>
  <si>
    <t>Cabelereiro 2 meses</t>
  </si>
  <si>
    <t>Apple iCloud</t>
  </si>
  <si>
    <t>Clube Smiles</t>
  </si>
  <si>
    <t>Plano de Celular</t>
  </si>
  <si>
    <t>Avast Antivirus</t>
  </si>
  <si>
    <t>Gasolina 3 tanques no mês</t>
  </si>
  <si>
    <t>Manutenção Carro + 2 revisões ano + pneu</t>
  </si>
  <si>
    <t>Patrimônio Líquido Realizado</t>
  </si>
  <si>
    <t>Investimentos Realizado</t>
  </si>
  <si>
    <t>Conta Corrente Realizado</t>
  </si>
  <si>
    <t xml:space="preserve"> Investimento Previsto</t>
  </si>
  <si>
    <t>2 Shows ou Eventos grandes no ano</t>
  </si>
  <si>
    <t>Barzinho ou Churrascos 2x mês</t>
  </si>
  <si>
    <t>Dívidas Realizado</t>
  </si>
  <si>
    <t>Salário Jonas - Programador Pleno</t>
  </si>
  <si>
    <t>Salário Patricia</t>
  </si>
  <si>
    <t>Freelas Jonas</t>
  </si>
  <si>
    <t>Outros Patrimônios (carros, lotes, casa etc) Realizado</t>
  </si>
  <si>
    <t>Outros Patrimônios</t>
  </si>
  <si>
    <t>Patrimônio Líquido Previsto</t>
  </si>
  <si>
    <t>Dívidas Previsto</t>
  </si>
  <si>
    <t>Apto Previsto</t>
  </si>
  <si>
    <t>Carro Previsto</t>
  </si>
  <si>
    <t>x</t>
  </si>
  <si>
    <t>Financiamento do Apartamento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</si>
</sst>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[$-416]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23">
    <xf numFmtId="0" fontId="0" fillId="0" borderId="0" xfId="0"/>
    <xf numFmtId="164" fontId="0" fillId="0" borderId="0" xfId="1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10" fontId="0" fillId="0" borderId="0" xfId="3" applyNumberFormat="1" applyFont="1"/>
    <xf numFmtId="165" fontId="0" fillId="0" borderId="0" xfId="0" applyNumberFormat="1"/>
    <xf numFmtId="44" fontId="0" fillId="0" borderId="0" xfId="4" applyFont="1"/>
    <xf numFmtId="44" fontId="0" fillId="0" borderId="0" xfId="0" applyNumberFormat="1"/>
    <xf numFmtId="164" fontId="0" fillId="0" borderId="0" xfId="5" applyFont="1"/>
    <xf numFmtId="164" fontId="5" fillId="0" borderId="0" xfId="5" applyFont="1"/>
    <xf numFmtId="0" fontId="5" fillId="0" borderId="0" xfId="0" applyFont="1"/>
    <xf numFmtId="164" fontId="3" fillId="0" borderId="0" xfId="5" applyFont="1"/>
    <xf numFmtId="164" fontId="4" fillId="0" borderId="0" xfId="5" applyFont="1"/>
    <xf numFmtId="164" fontId="1" fillId="0" borderId="0" xfId="5" applyFont="1"/>
    <xf numFmtId="44" fontId="0" fillId="3" borderId="0" xfId="4" applyFont="1" applyFill="1"/>
    <xf numFmtId="164" fontId="0" fillId="3" borderId="0" xfId="1" applyFont="1" applyFill="1"/>
    <xf numFmtId="44" fontId="0" fillId="3" borderId="0" xfId="0" applyNumberFormat="1" applyFill="1"/>
    <xf numFmtId="44" fontId="6" fillId="3" borderId="0" xfId="6" applyNumberFormat="1" applyFill="1"/>
    <xf numFmtId="0" fontId="0" fillId="4" borderId="0" xfId="0" applyFill="1"/>
    <xf numFmtId="44" fontId="6" fillId="0" borderId="0" xfId="6" applyNumberFormat="1" applyFill="1"/>
    <xf numFmtId="44" fontId="3" fillId="3" borderId="0" xfId="4" applyFont="1" applyFill="1"/>
    <xf numFmtId="0" fontId="8" fillId="5" borderId="0" xfId="0" applyFont="1" applyFill="1"/>
  </cellXfs>
  <cellStyles count="7">
    <cellStyle name="Moeda" xfId="1" builtinId="4"/>
    <cellStyle name="Moeda 2" xfId="4" xr:uid="{42EEB5FA-373F-4175-9527-F4B4E59CDA42}"/>
    <cellStyle name="Moeda 2 2" xfId="5" xr:uid="{C4F92B25-4972-4366-9393-1B98D751B4C3}"/>
    <cellStyle name="Normal" xfId="0" builtinId="0"/>
    <cellStyle name="Normal 2" xfId="2" xr:uid="{E654D8A9-094E-45FC-AA62-4C536B788204}"/>
    <cellStyle name="Porcentagem" xfId="3" builtinId="5"/>
    <cellStyle name="Ruim" xfId="6" builtinId="27"/>
  </cellStyles>
  <dxfs count="28"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rgb="FF00B050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</dxf>
    <dxf>
      <numFmt numFmtId="165" formatCode="[$-416]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Investimentos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'Fluxo de Caixa'!$I$1</c:f>
              <c:strCache>
                <c:ptCount val="1"/>
                <c:pt idx="0">
                  <c:v>Investimentos Realizado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Caixa'!$I$2:$I$145</c:f>
              <c:numCache>
                <c:formatCode>_("R$"* #,##0.00_);_("R$"* \(#,##0.00\);_("R$"* "-"??_);_(@_)</c:formatCode>
                <c:ptCount val="144"/>
                <c:pt idx="0">
                  <c:v>18634.14</c:v>
                </c:pt>
                <c:pt idx="1">
                  <c:v>19599.899999999998</c:v>
                </c:pt>
                <c:pt idx="2">
                  <c:v>20778.350000000002</c:v>
                </c:pt>
                <c:pt idx="3">
                  <c:v>21976.799999999999</c:v>
                </c:pt>
                <c:pt idx="4">
                  <c:v>23378.25</c:v>
                </c:pt>
                <c:pt idx="5">
                  <c:v>24099.59</c:v>
                </c:pt>
                <c:pt idx="6">
                  <c:v>25023.040000000001</c:v>
                </c:pt>
                <c:pt idx="7">
                  <c:v>24746.49</c:v>
                </c:pt>
                <c:pt idx="8">
                  <c:v>26023.040000000001</c:v>
                </c:pt>
                <c:pt idx="9">
                  <c:v>27157.58</c:v>
                </c:pt>
                <c:pt idx="10">
                  <c:v>28356.57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6-4979-B011-01D6F59E5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996448"/>
        <c:axId val="2051980224"/>
      </c:barChart>
      <c:lineChart>
        <c:grouping val="standard"/>
        <c:varyColors val="0"/>
        <c:ser>
          <c:idx val="4"/>
          <c:order val="0"/>
          <c:tx>
            <c:strRef>
              <c:f>'Fluxo de Caixa'!$S$1</c:f>
              <c:strCache>
                <c:ptCount val="1"/>
                <c:pt idx="0">
                  <c:v> Investimento Previsto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Caixa'!$S$2:$S$145</c:f>
              <c:numCache>
                <c:formatCode>_("R$"* #,##0.00_);_("R$"* \(#,##0.00\);_("R$"* "-"??_);_(@_)</c:formatCode>
                <c:ptCount val="144"/>
                <c:pt idx="0">
                  <c:v>18634.14</c:v>
                </c:pt>
                <c:pt idx="1">
                  <c:v>20799.983845999999</c:v>
                </c:pt>
                <c:pt idx="2">
                  <c:v>22985.1037022294</c:v>
                </c:pt>
                <c:pt idx="3">
                  <c:v>25189.67112517924</c:v>
                </c:pt>
                <c:pt idx="4">
                  <c:v>27413.859198193335</c:v>
                </c:pt>
                <c:pt idx="5">
                  <c:v>29657.842545057254</c:v>
                </c:pt>
                <c:pt idx="6">
                  <c:v>31921.797343708262</c:v>
                </c:pt>
                <c:pt idx="7">
                  <c:v>34205.90134006727</c:v>
                </c:pt>
                <c:pt idx="8">
                  <c:v>36510.333861993866</c:v>
                </c:pt>
                <c:pt idx="9">
                  <c:v>38835.275833365609</c:v>
                </c:pt>
                <c:pt idx="10">
                  <c:v>41180.909788282566</c:v>
                </c:pt>
                <c:pt idx="11">
                  <c:v>43547.419885398282</c:v>
                </c:pt>
                <c:pt idx="12">
                  <c:v>47534.991922378329</c:v>
                </c:pt>
                <c:pt idx="13">
                  <c:v>51558.053350487498</c:v>
                </c:pt>
                <c:pt idx="14">
                  <c:v>55616.920025306834</c:v>
                </c:pt>
                <c:pt idx="15">
                  <c:v>59711.910613532062</c:v>
                </c:pt>
                <c:pt idx="16">
                  <c:v>63843.346617992494</c:v>
                </c:pt>
                <c:pt idx="17">
                  <c:v>68011.55240289263</c:v>
                </c:pt>
                <c:pt idx="18">
                  <c:v>72216.855219278368</c:v>
                </c:pt>
                <c:pt idx="19">
                  <c:v>76459.58523072995</c:v>
                </c:pt>
                <c:pt idx="20">
                  <c:v>80740.07553928344</c:v>
                </c:pt>
                <c:pt idx="21">
                  <c:v>85058.662211583069</c:v>
                </c:pt>
                <c:pt idx="22">
                  <c:v>89415.684305266157</c:v>
                </c:pt>
                <c:pt idx="23">
                  <c:v>93811.48389558302</c:v>
                </c:pt>
                <c:pt idx="24">
                  <c:v>98446.406102253706</c:v>
                </c:pt>
                <c:pt idx="25">
                  <c:v>103122.57911656376</c:v>
                </c:pt>
                <c:pt idx="26">
                  <c:v>107840.37007070119</c:v>
                </c:pt>
                <c:pt idx="27">
                  <c:v>112600.14936433043</c:v>
                </c:pt>
                <c:pt idx="28">
                  <c:v>117402.29069367297</c:v>
                </c:pt>
                <c:pt idx="29">
                  <c:v>122247.17108084666</c:v>
                </c:pt>
                <c:pt idx="30">
                  <c:v>127135.17090346619</c:v>
                </c:pt>
                <c:pt idx="31">
                  <c:v>132066.67392450705</c:v>
                </c:pt>
                <c:pt idx="32">
                  <c:v>137042.06732243515</c:v>
                </c:pt>
                <c:pt idx="33">
                  <c:v>142061.74172160483</c:v>
                </c:pt>
                <c:pt idx="34">
                  <c:v>147126.09122292712</c:v>
                </c:pt>
                <c:pt idx="35">
                  <c:v>152235.51343481118</c:v>
                </c:pt>
                <c:pt idx="36">
                  <c:v>157590.40950438101</c:v>
                </c:pt>
                <c:pt idx="37">
                  <c:v>162992.96414897</c:v>
                </c:pt>
                <c:pt idx="38">
                  <c:v>168443.60152989582</c:v>
                </c:pt>
                <c:pt idx="39">
                  <c:v>173942.7495835119</c:v>
                </c:pt>
                <c:pt idx="40">
                  <c:v>179490.84005480516</c:v>
                </c:pt>
                <c:pt idx="41">
                  <c:v>185088.30853129292</c:v>
                </c:pt>
                <c:pt idx="42">
                  <c:v>190735.59447722143</c:v>
                </c:pt>
                <c:pt idx="43">
                  <c:v>196433.14126806869</c:v>
                </c:pt>
                <c:pt idx="44">
                  <c:v>202181.39622535449</c:v>
                </c:pt>
                <c:pt idx="45">
                  <c:v>207980.81065176014</c:v>
                </c:pt>
                <c:pt idx="46">
                  <c:v>213831.8398665608</c:v>
                </c:pt>
                <c:pt idx="47">
                  <c:v>219734.9432413732</c:v>
                </c:pt>
                <c:pt idx="48">
                  <c:v>225890.58423622142</c:v>
                </c:pt>
                <c:pt idx="49">
                  <c:v>232101.01043592379</c:v>
                </c:pt>
                <c:pt idx="50">
                  <c:v>238366.7094288035</c:v>
                </c:pt>
                <c:pt idx="51">
                  <c:v>244688.17314271984</c:v>
                </c:pt>
                <c:pt idx="52">
                  <c:v>251065.89788369005</c:v>
                </c:pt>
                <c:pt idx="53">
                  <c:v>257500.38437485488</c:v>
                </c:pt>
                <c:pt idx="54">
                  <c:v>263992.13779579109</c:v>
                </c:pt>
                <c:pt idx="55">
                  <c:v>270541.66782217362</c:v>
                </c:pt>
                <c:pt idx="56">
                  <c:v>277149.488665791</c:v>
                </c:pt>
                <c:pt idx="57">
                  <c:v>283816.11911491654</c:v>
                </c:pt>
                <c:pt idx="58">
                  <c:v>290542.0825750393</c:v>
                </c:pt>
                <c:pt idx="59">
                  <c:v>297327.90710995713</c:v>
                </c:pt>
                <c:pt idx="60">
                  <c:v>305174.12548323575</c:v>
                </c:pt>
                <c:pt idx="61">
                  <c:v>313090.17520003655</c:v>
                </c:pt>
                <c:pt idx="62">
                  <c:v>321076.67775931687</c:v>
                </c:pt>
                <c:pt idx="63">
                  <c:v>329134.26019137481</c:v>
                </c:pt>
                <c:pt idx="64">
                  <c:v>337263.55510707805</c:v>
                </c:pt>
                <c:pt idx="65">
                  <c:v>345465.20074753102</c:v>
                </c:pt>
                <c:pt idx="66">
                  <c:v>353739.84103418404</c:v>
                </c:pt>
                <c:pt idx="67">
                  <c:v>362088.1256193883</c:v>
                </c:pt>
                <c:pt idx="68">
                  <c:v>370510.70993740088</c:v>
                </c:pt>
                <c:pt idx="69">
                  <c:v>379008.25525584375</c:v>
                </c:pt>
                <c:pt idx="70">
                  <c:v>387581.42872762075</c:v>
                </c:pt>
                <c:pt idx="71">
                  <c:v>396230.90344329656</c:v>
                </c:pt>
                <c:pt idx="72">
                  <c:v>405357.35848394188</c:v>
                </c:pt>
                <c:pt idx="73">
                  <c:v>414565.03897444898</c:v>
                </c:pt>
                <c:pt idx="74">
                  <c:v>423854.66782132158</c:v>
                </c:pt>
                <c:pt idx="75">
                  <c:v>433226.97436493135</c:v>
                </c:pt>
                <c:pt idx="76">
                  <c:v>442682.69443677925</c:v>
                </c:pt>
                <c:pt idx="77">
                  <c:v>452222.57041726657</c:v>
                </c:pt>
                <c:pt idx="78">
                  <c:v>461847.35129398026</c:v>
                </c:pt>
                <c:pt idx="79">
                  <c:v>471557.79272049671</c:v>
                </c:pt>
                <c:pt idx="80">
                  <c:v>481354.65707570914</c:v>
                </c:pt>
                <c:pt idx="81">
                  <c:v>491238.71352368296</c:v>
                </c:pt>
                <c:pt idx="82">
                  <c:v>501210.73807404377</c:v>
                </c:pt>
                <c:pt idx="83">
                  <c:v>511271.51364290278</c:v>
                </c:pt>
                <c:pt idx="84">
                  <c:v>521421.83011432464</c:v>
                </c:pt>
                <c:pt idx="85">
                  <c:v>531662.48440234212</c:v>
                </c:pt>
                <c:pt idx="86">
                  <c:v>541994.28051352291</c:v>
                </c:pt>
                <c:pt idx="87">
                  <c:v>552418.02961009322</c:v>
                </c:pt>
                <c:pt idx="88">
                  <c:v>562934.55007362308</c:v>
                </c:pt>
                <c:pt idx="89">
                  <c:v>573544.66756927827</c:v>
                </c:pt>
                <c:pt idx="90">
                  <c:v>584249.21511064481</c:v>
                </c:pt>
                <c:pt idx="91">
                  <c:v>595049.03312512953</c:v>
                </c:pt>
                <c:pt idx="92">
                  <c:v>605944.96951994323</c:v>
                </c:pt>
                <c:pt idx="93">
                  <c:v>616937.87974867073</c:v>
                </c:pt>
                <c:pt idx="94">
                  <c:v>628028.62687843386</c:v>
                </c:pt>
                <c:pt idx="95">
                  <c:v>639218.08165765193</c:v>
                </c:pt>
                <c:pt idx="96">
                  <c:v>650507.12258440501</c:v>
                </c:pt>
                <c:pt idx="97">
                  <c:v>661896.63597540616</c:v>
                </c:pt>
                <c:pt idx="98">
                  <c:v>673387.51603558729</c:v>
                </c:pt>
                <c:pt idx="99">
                  <c:v>684980.66492830403</c:v>
                </c:pt>
                <c:pt idx="100">
                  <c:v>696676.9928461659</c:v>
                </c:pt>
                <c:pt idx="101">
                  <c:v>708477.41808249673</c:v>
                </c:pt>
                <c:pt idx="102">
                  <c:v>720382.86710343091</c:v>
                </c:pt>
                <c:pt idx="103">
                  <c:v>732394.2746206515</c:v>
                </c:pt>
                <c:pt idx="104">
                  <c:v>744512.58366477524</c:v>
                </c:pt>
                <c:pt idx="105">
                  <c:v>756738.74565939174</c:v>
                </c:pt>
                <c:pt idx="106">
                  <c:v>769073.72049576032</c:v>
                </c:pt>
                <c:pt idx="107">
                  <c:v>781518.47660817264</c:v>
                </c:pt>
                <c:pt idx="108">
                  <c:v>794073.9910499854</c:v>
                </c:pt>
                <c:pt idx="109">
                  <c:v>806741.24957033026</c:v>
                </c:pt>
                <c:pt idx="110">
                  <c:v>819521.24669150624</c:v>
                </c:pt>
                <c:pt idx="111">
                  <c:v>832414.98578706069</c:v>
                </c:pt>
                <c:pt idx="112">
                  <c:v>845423.47916056553</c:v>
                </c:pt>
                <c:pt idx="113">
                  <c:v>858547.74812509457</c:v>
                </c:pt>
                <c:pt idx="114">
                  <c:v>871788.82308340794</c:v>
                </c:pt>
                <c:pt idx="115">
                  <c:v>885147.74360885029</c:v>
                </c:pt>
                <c:pt idx="116">
                  <c:v>898625.55852696905</c:v>
                </c:pt>
                <c:pt idx="117">
                  <c:v>912223.32599785912</c:v>
                </c:pt>
                <c:pt idx="118">
                  <c:v>925942.11359924008</c:v>
                </c:pt>
                <c:pt idx="119">
                  <c:v>939782.99841027334</c:v>
                </c:pt>
                <c:pt idx="120">
                  <c:v>953747.06709612475</c:v>
                </c:pt>
                <c:pt idx="121">
                  <c:v>967835.41599328024</c:v>
                </c:pt>
                <c:pt idx="122">
                  <c:v>982049.15119562042</c:v>
                </c:pt>
                <c:pt idx="123">
                  <c:v>996389.3886412615</c:v>
                </c:pt>
                <c:pt idx="124">
                  <c:v>1010857.2542001688</c:v>
                </c:pt>
                <c:pt idx="125">
                  <c:v>1025453.8837625503</c:v>
                </c:pt>
                <c:pt idx="126">
                  <c:v>1040180.423328037</c:v>
                </c:pt>
                <c:pt idx="127">
                  <c:v>1055038.0290956565</c:v>
                </c:pt>
                <c:pt idx="128">
                  <c:v>1070027.8675546078</c:v>
                </c:pt>
                <c:pt idx="129">
                  <c:v>1085151.1155758437</c:v>
                </c:pt>
                <c:pt idx="130">
                  <c:v>1100408.9605044688</c:v>
                </c:pt>
                <c:pt idx="131">
                  <c:v>1115802.6002529585</c:v>
                </c:pt>
                <c:pt idx="132">
                  <c:v>1131333.2433952098</c:v>
                </c:pt>
                <c:pt idx="133">
                  <c:v>1147002.1092614271</c:v>
                </c:pt>
                <c:pt idx="134">
                  <c:v>1162810.4280338539</c:v>
                </c:pt>
                <c:pt idx="135">
                  <c:v>1178759.4408433551</c:v>
                </c:pt>
                <c:pt idx="136">
                  <c:v>1194850.3998668611</c:v>
                </c:pt>
                <c:pt idx="137">
                  <c:v>1211084.5684256761</c:v>
                </c:pt>
                <c:pt idx="138">
                  <c:v>1227463.2210846646</c:v>
                </c:pt>
                <c:pt idx="139">
                  <c:v>1243987.6437523181</c:v>
                </c:pt>
                <c:pt idx="140">
                  <c:v>1260659.1337817137</c:v>
                </c:pt>
                <c:pt idx="141">
                  <c:v>1277479.000072371</c:v>
                </c:pt>
                <c:pt idx="142">
                  <c:v>1294448.5631730151</c:v>
                </c:pt>
                <c:pt idx="143">
                  <c:v>1311569.1553852549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6-4979-B011-01D6F59E5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996448"/>
        <c:axId val="2051980224"/>
      </c:lineChart>
      <c:dateAx>
        <c:axId val="205199644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80224"/>
        <c:crosses val="autoZero"/>
        <c:auto val="1"/>
        <c:lblOffset val="100"/>
        <c:baseTimeUnit val="months"/>
      </c:dateAx>
      <c:valAx>
        <c:axId val="20519802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Fluxo de Caixa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'Fluxo de Caixa'!$D$1</c:f>
              <c:strCache>
                <c:ptCount val="1"/>
                <c:pt idx="0">
                  <c:v>Geração de Caixa Realizado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Caixa'!$D$2:$D$145</c:f>
              <c:numCache>
                <c:formatCode>_("R$"* #,##0.00_);_("R$"* \(#,##0.00\);_("R$"* "-"??_);_(@_)</c:formatCode>
                <c:ptCount val="144"/>
                <c:pt idx="0">
                  <c:v>-652.31999999999971</c:v>
                </c:pt>
                <c:pt idx="1">
                  <c:v>836.11000000000058</c:v>
                </c:pt>
                <c:pt idx="2">
                  <c:v>1461.5</c:v>
                </c:pt>
                <c:pt idx="3">
                  <c:v>403.46999999999935</c:v>
                </c:pt>
                <c:pt idx="4">
                  <c:v>1941.1299999999992</c:v>
                </c:pt>
                <c:pt idx="5">
                  <c:v>308.07999999999993</c:v>
                </c:pt>
                <c:pt idx="6">
                  <c:v>1394.5500000000011</c:v>
                </c:pt>
                <c:pt idx="7">
                  <c:v>-1434.7900000000009</c:v>
                </c:pt>
                <c:pt idx="8">
                  <c:v>2308.3199999999997</c:v>
                </c:pt>
                <c:pt idx="9">
                  <c:v>747.2400000000016</c:v>
                </c:pt>
                <c:pt idx="10">
                  <c:v>917.18999999999869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 formatCode="_-&quot;R$&quot;* #,##0.00_-;\-&quot;R$&quot;* #,##0.00_-;_-&quot;R$&quot;* &quot;-&quot;??_-;_-@_-">
                  <c:v>0</c:v>
                </c:pt>
                <c:pt idx="121" formatCode="_-&quot;R$&quot;* #,##0.00_-;\-&quot;R$&quot;* #,##0.00_-;_-&quot;R$&quot;* &quot;-&quot;??_-;_-@_-">
                  <c:v>0</c:v>
                </c:pt>
                <c:pt idx="122" formatCode="_-&quot;R$&quot;* #,##0.00_-;\-&quot;R$&quot;* #,##0.00_-;_-&quot;R$&quot;* &quot;-&quot;??_-;_-@_-">
                  <c:v>0</c:v>
                </c:pt>
                <c:pt idx="123" formatCode="_-&quot;R$&quot;* #,##0.00_-;\-&quot;R$&quot;* #,##0.00_-;_-&quot;R$&quot;* &quot;-&quot;??_-;_-@_-">
                  <c:v>0</c:v>
                </c:pt>
                <c:pt idx="124" formatCode="_-&quot;R$&quot;* #,##0.00_-;\-&quot;R$&quot;* #,##0.00_-;_-&quot;R$&quot;* &quot;-&quot;??_-;_-@_-">
                  <c:v>0</c:v>
                </c:pt>
                <c:pt idx="125" formatCode="_-&quot;R$&quot;* #,##0.00_-;\-&quot;R$&quot;* #,##0.00_-;_-&quot;R$&quot;* &quot;-&quot;??_-;_-@_-">
                  <c:v>0</c:v>
                </c:pt>
                <c:pt idx="126" formatCode="_-&quot;R$&quot;* #,##0.00_-;\-&quot;R$&quot;* #,##0.00_-;_-&quot;R$&quot;* &quot;-&quot;??_-;_-@_-">
                  <c:v>0</c:v>
                </c:pt>
                <c:pt idx="127" formatCode="_-&quot;R$&quot;* #,##0.00_-;\-&quot;R$&quot;* #,##0.00_-;_-&quot;R$&quot;* &quot;-&quot;??_-;_-@_-">
                  <c:v>0</c:v>
                </c:pt>
                <c:pt idx="128" formatCode="_-&quot;R$&quot;* #,##0.00_-;\-&quot;R$&quot;* #,##0.00_-;_-&quot;R$&quot;* &quot;-&quot;??_-;_-@_-">
                  <c:v>0</c:v>
                </c:pt>
                <c:pt idx="129" formatCode="_-&quot;R$&quot;* #,##0.00_-;\-&quot;R$&quot;* #,##0.00_-;_-&quot;R$&quot;* &quot;-&quot;??_-;_-@_-">
                  <c:v>0</c:v>
                </c:pt>
                <c:pt idx="130" formatCode="_-&quot;R$&quot;* #,##0.00_-;\-&quot;R$&quot;* #,##0.00_-;_-&quot;R$&quot;* &quot;-&quot;??_-;_-@_-">
                  <c:v>0</c:v>
                </c:pt>
                <c:pt idx="131" formatCode="_-&quot;R$&quot;* #,##0.00_-;\-&quot;R$&quot;* #,##0.00_-;_-&quot;R$&quot;* &quot;-&quot;??_-;_-@_-">
                  <c:v>0</c:v>
                </c:pt>
                <c:pt idx="132" formatCode="_-&quot;R$&quot;* #,##0.00_-;\-&quot;R$&quot;* #,##0.00_-;_-&quot;R$&quot;* &quot;-&quot;??_-;_-@_-">
                  <c:v>0</c:v>
                </c:pt>
                <c:pt idx="133" formatCode="_-&quot;R$&quot;* #,##0.00_-;\-&quot;R$&quot;* #,##0.00_-;_-&quot;R$&quot;* &quot;-&quot;??_-;_-@_-">
                  <c:v>0</c:v>
                </c:pt>
                <c:pt idx="134" formatCode="_-&quot;R$&quot;* #,##0.00_-;\-&quot;R$&quot;* #,##0.00_-;_-&quot;R$&quot;* &quot;-&quot;??_-;_-@_-">
                  <c:v>0</c:v>
                </c:pt>
                <c:pt idx="135" formatCode="_-&quot;R$&quot;* #,##0.00_-;\-&quot;R$&quot;* #,##0.00_-;_-&quot;R$&quot;* &quot;-&quot;??_-;_-@_-">
                  <c:v>0</c:v>
                </c:pt>
                <c:pt idx="136" formatCode="_-&quot;R$&quot;* #,##0.00_-;\-&quot;R$&quot;* #,##0.00_-;_-&quot;R$&quot;* &quot;-&quot;??_-;_-@_-">
                  <c:v>0</c:v>
                </c:pt>
                <c:pt idx="137" formatCode="_-&quot;R$&quot;* #,##0.00_-;\-&quot;R$&quot;* #,##0.00_-;_-&quot;R$&quot;* &quot;-&quot;??_-;_-@_-">
                  <c:v>0</c:v>
                </c:pt>
                <c:pt idx="138" formatCode="_-&quot;R$&quot;* #,##0.00_-;\-&quot;R$&quot;* #,##0.00_-;_-&quot;R$&quot;* &quot;-&quot;??_-;_-@_-">
                  <c:v>0</c:v>
                </c:pt>
                <c:pt idx="139" formatCode="_-&quot;R$&quot;* #,##0.00_-;\-&quot;R$&quot;* #,##0.00_-;_-&quot;R$&quot;* &quot;-&quot;??_-;_-@_-">
                  <c:v>0</c:v>
                </c:pt>
                <c:pt idx="140" formatCode="_-&quot;R$&quot;* #,##0.00_-;\-&quot;R$&quot;* #,##0.00_-;_-&quot;R$&quot;* &quot;-&quot;??_-;_-@_-">
                  <c:v>0</c:v>
                </c:pt>
                <c:pt idx="141" formatCode="_-&quot;R$&quot;* #,##0.00_-;\-&quot;R$&quot;* #,##0.00_-;_-&quot;R$&quot;* &quot;-&quot;??_-;_-@_-">
                  <c:v>0</c:v>
                </c:pt>
                <c:pt idx="142" formatCode="_-&quot;R$&quot;* #,##0.00_-;\-&quot;R$&quot;* #,##0.00_-;_-&quot;R$&quot;* &quot;-&quot;??_-;_-@_-">
                  <c:v>0</c:v>
                </c:pt>
                <c:pt idx="143" formatCode="_-&quot;R$&quot;* #,##0.00_-;\-&quot;R$&quot;* #,##0.00_-;_-&quot;R$&quot;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6-4CCD-8208-596AD529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996448"/>
        <c:axId val="2051980224"/>
      </c:barChart>
      <c:lineChart>
        <c:grouping val="standard"/>
        <c:varyColors val="0"/>
        <c:ser>
          <c:idx val="1"/>
          <c:order val="0"/>
          <c:tx>
            <c:strRef>
              <c:f>'Fluxo de Caixa'!$M$1</c:f>
              <c:strCache>
                <c:ptCount val="1"/>
                <c:pt idx="0">
                  <c:v>Receita Previsto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Caixa'!$M$2:$M$145</c:f>
              <c:numCache>
                <c:formatCode>_("R$"* #,##0.00_);_("R$"* \(#,##0.00\);_("R$"* "-"??_);_(@_)</c:formatCode>
                <c:ptCount val="144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15600</c:v>
                </c:pt>
                <c:pt idx="13">
                  <c:v>15600</c:v>
                </c:pt>
                <c:pt idx="14">
                  <c:v>15600</c:v>
                </c:pt>
                <c:pt idx="15">
                  <c:v>15600</c:v>
                </c:pt>
                <c:pt idx="16">
                  <c:v>15600</c:v>
                </c:pt>
                <c:pt idx="17">
                  <c:v>15600</c:v>
                </c:pt>
                <c:pt idx="18">
                  <c:v>15600</c:v>
                </c:pt>
                <c:pt idx="19">
                  <c:v>15600</c:v>
                </c:pt>
                <c:pt idx="20">
                  <c:v>15600</c:v>
                </c:pt>
                <c:pt idx="21">
                  <c:v>15600</c:v>
                </c:pt>
                <c:pt idx="22">
                  <c:v>15600</c:v>
                </c:pt>
                <c:pt idx="23">
                  <c:v>15600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  <c:pt idx="33">
                  <c:v>16000</c:v>
                </c:pt>
                <c:pt idx="34">
                  <c:v>16000</c:v>
                </c:pt>
                <c:pt idx="35">
                  <c:v>16000</c:v>
                </c:pt>
                <c:pt idx="36">
                  <c:v>16500</c:v>
                </c:pt>
                <c:pt idx="37">
                  <c:v>16500</c:v>
                </c:pt>
                <c:pt idx="38">
                  <c:v>16500</c:v>
                </c:pt>
                <c:pt idx="39">
                  <c:v>16500</c:v>
                </c:pt>
                <c:pt idx="40">
                  <c:v>16500</c:v>
                </c:pt>
                <c:pt idx="41">
                  <c:v>16500</c:v>
                </c:pt>
                <c:pt idx="42">
                  <c:v>16500</c:v>
                </c:pt>
                <c:pt idx="43">
                  <c:v>16500</c:v>
                </c:pt>
                <c:pt idx="44">
                  <c:v>16500</c:v>
                </c:pt>
                <c:pt idx="45">
                  <c:v>16500</c:v>
                </c:pt>
                <c:pt idx="46">
                  <c:v>16500</c:v>
                </c:pt>
                <c:pt idx="47">
                  <c:v>16500</c:v>
                </c:pt>
                <c:pt idx="48">
                  <c:v>17000</c:v>
                </c:pt>
                <c:pt idx="49">
                  <c:v>17000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17000</c:v>
                </c:pt>
                <c:pt idx="55">
                  <c:v>17000</c:v>
                </c:pt>
                <c:pt idx="56">
                  <c:v>17000</c:v>
                </c:pt>
                <c:pt idx="57">
                  <c:v>17000</c:v>
                </c:pt>
                <c:pt idx="58">
                  <c:v>17000</c:v>
                </c:pt>
                <c:pt idx="59">
                  <c:v>17000</c:v>
                </c:pt>
                <c:pt idx="60">
                  <c:v>17500</c:v>
                </c:pt>
                <c:pt idx="61">
                  <c:v>17500</c:v>
                </c:pt>
                <c:pt idx="62">
                  <c:v>17500</c:v>
                </c:pt>
                <c:pt idx="63">
                  <c:v>17500</c:v>
                </c:pt>
                <c:pt idx="64">
                  <c:v>17500</c:v>
                </c:pt>
                <c:pt idx="65">
                  <c:v>17500</c:v>
                </c:pt>
                <c:pt idx="66">
                  <c:v>17500</c:v>
                </c:pt>
                <c:pt idx="67">
                  <c:v>17500</c:v>
                </c:pt>
                <c:pt idx="68">
                  <c:v>17500</c:v>
                </c:pt>
                <c:pt idx="69">
                  <c:v>17500</c:v>
                </c:pt>
                <c:pt idx="70">
                  <c:v>17500</c:v>
                </c:pt>
                <c:pt idx="71">
                  <c:v>17500</c:v>
                </c:pt>
                <c:pt idx="72">
                  <c:v>17800</c:v>
                </c:pt>
                <c:pt idx="73">
                  <c:v>17800</c:v>
                </c:pt>
                <c:pt idx="74">
                  <c:v>17800</c:v>
                </c:pt>
                <c:pt idx="75">
                  <c:v>17800</c:v>
                </c:pt>
                <c:pt idx="76">
                  <c:v>17800</c:v>
                </c:pt>
                <c:pt idx="77">
                  <c:v>17800</c:v>
                </c:pt>
                <c:pt idx="78">
                  <c:v>17800</c:v>
                </c:pt>
                <c:pt idx="79">
                  <c:v>17800</c:v>
                </c:pt>
                <c:pt idx="80">
                  <c:v>17800</c:v>
                </c:pt>
                <c:pt idx="81">
                  <c:v>17800</c:v>
                </c:pt>
                <c:pt idx="82">
                  <c:v>17800</c:v>
                </c:pt>
                <c:pt idx="83">
                  <c:v>17800</c:v>
                </c:pt>
                <c:pt idx="84">
                  <c:v>18000</c:v>
                </c:pt>
                <c:pt idx="85">
                  <c:v>18000</c:v>
                </c:pt>
                <c:pt idx="86">
                  <c:v>18000</c:v>
                </c:pt>
                <c:pt idx="87">
                  <c:v>18000</c:v>
                </c:pt>
                <c:pt idx="88">
                  <c:v>18000</c:v>
                </c:pt>
                <c:pt idx="89">
                  <c:v>18000</c:v>
                </c:pt>
                <c:pt idx="90">
                  <c:v>18000</c:v>
                </c:pt>
                <c:pt idx="91">
                  <c:v>18000</c:v>
                </c:pt>
                <c:pt idx="92">
                  <c:v>18000</c:v>
                </c:pt>
                <c:pt idx="93">
                  <c:v>18000</c:v>
                </c:pt>
                <c:pt idx="94">
                  <c:v>18000</c:v>
                </c:pt>
                <c:pt idx="95">
                  <c:v>18000</c:v>
                </c:pt>
                <c:pt idx="96">
                  <c:v>18000</c:v>
                </c:pt>
                <c:pt idx="97">
                  <c:v>18000</c:v>
                </c:pt>
                <c:pt idx="98">
                  <c:v>18000</c:v>
                </c:pt>
                <c:pt idx="99">
                  <c:v>18000</c:v>
                </c:pt>
                <c:pt idx="100">
                  <c:v>18000</c:v>
                </c:pt>
                <c:pt idx="101">
                  <c:v>18000</c:v>
                </c:pt>
                <c:pt idx="102">
                  <c:v>18000</c:v>
                </c:pt>
                <c:pt idx="103">
                  <c:v>18000</c:v>
                </c:pt>
                <c:pt idx="104">
                  <c:v>18000</c:v>
                </c:pt>
                <c:pt idx="105">
                  <c:v>18000</c:v>
                </c:pt>
                <c:pt idx="106">
                  <c:v>18000</c:v>
                </c:pt>
                <c:pt idx="107">
                  <c:v>18000</c:v>
                </c:pt>
                <c:pt idx="108">
                  <c:v>18000</c:v>
                </c:pt>
                <c:pt idx="109">
                  <c:v>18000</c:v>
                </c:pt>
                <c:pt idx="110">
                  <c:v>18000</c:v>
                </c:pt>
                <c:pt idx="111">
                  <c:v>18000</c:v>
                </c:pt>
                <c:pt idx="112">
                  <c:v>18000</c:v>
                </c:pt>
                <c:pt idx="113">
                  <c:v>18000</c:v>
                </c:pt>
                <c:pt idx="114">
                  <c:v>18000</c:v>
                </c:pt>
                <c:pt idx="115">
                  <c:v>18000</c:v>
                </c:pt>
                <c:pt idx="116">
                  <c:v>18000</c:v>
                </c:pt>
                <c:pt idx="117">
                  <c:v>18000</c:v>
                </c:pt>
                <c:pt idx="118">
                  <c:v>18000</c:v>
                </c:pt>
                <c:pt idx="119">
                  <c:v>18000</c:v>
                </c:pt>
                <c:pt idx="120">
                  <c:v>18000</c:v>
                </c:pt>
                <c:pt idx="121">
                  <c:v>18000</c:v>
                </c:pt>
                <c:pt idx="122">
                  <c:v>18000</c:v>
                </c:pt>
                <c:pt idx="123">
                  <c:v>18000</c:v>
                </c:pt>
                <c:pt idx="124">
                  <c:v>18000</c:v>
                </c:pt>
                <c:pt idx="125">
                  <c:v>18000</c:v>
                </c:pt>
                <c:pt idx="126">
                  <c:v>18000</c:v>
                </c:pt>
                <c:pt idx="127">
                  <c:v>18000</c:v>
                </c:pt>
                <c:pt idx="128">
                  <c:v>18000</c:v>
                </c:pt>
                <c:pt idx="129">
                  <c:v>18000</c:v>
                </c:pt>
                <c:pt idx="130">
                  <c:v>18000</c:v>
                </c:pt>
                <c:pt idx="131">
                  <c:v>18000</c:v>
                </c:pt>
                <c:pt idx="132">
                  <c:v>18000</c:v>
                </c:pt>
                <c:pt idx="133">
                  <c:v>18000</c:v>
                </c:pt>
                <c:pt idx="134">
                  <c:v>18000</c:v>
                </c:pt>
                <c:pt idx="135">
                  <c:v>18000</c:v>
                </c:pt>
                <c:pt idx="136">
                  <c:v>18000</c:v>
                </c:pt>
                <c:pt idx="137">
                  <c:v>18000</c:v>
                </c:pt>
                <c:pt idx="138">
                  <c:v>18000</c:v>
                </c:pt>
                <c:pt idx="139">
                  <c:v>18000</c:v>
                </c:pt>
                <c:pt idx="140">
                  <c:v>18000</c:v>
                </c:pt>
                <c:pt idx="141">
                  <c:v>18000</c:v>
                </c:pt>
                <c:pt idx="142">
                  <c:v>18000</c:v>
                </c:pt>
                <c:pt idx="14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6-4CCD-8208-596AD529B11B}"/>
            </c:ext>
          </c:extLst>
        </c:ser>
        <c:ser>
          <c:idx val="0"/>
          <c:order val="1"/>
          <c:tx>
            <c:strRef>
              <c:f>'Fluxo de Caixa'!$N$1</c:f>
              <c:strCache>
                <c:ptCount val="1"/>
                <c:pt idx="0">
                  <c:v>Despesa Previsto</c:v>
                </c:pt>
              </c:strCache>
            </c:strRef>
          </c:tx>
          <c:spPr>
            <a:ln w="28575" cap="rnd">
              <a:solidFill>
                <a:srgbClr val="FF8679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Caixa'!$N$2:$N$145</c:f>
              <c:numCache>
                <c:formatCode>_("R$"* #,##0.00_);_("R$"* \(#,##0.00\);_("R$"* "-"??_);_(@_)</c:formatCode>
                <c:ptCount val="144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13800</c:v>
                </c:pt>
                <c:pt idx="13">
                  <c:v>13800</c:v>
                </c:pt>
                <c:pt idx="14">
                  <c:v>13800</c:v>
                </c:pt>
                <c:pt idx="15">
                  <c:v>13800</c:v>
                </c:pt>
                <c:pt idx="16">
                  <c:v>13800</c:v>
                </c:pt>
                <c:pt idx="17">
                  <c:v>13800</c:v>
                </c:pt>
                <c:pt idx="18">
                  <c:v>13800</c:v>
                </c:pt>
                <c:pt idx="19">
                  <c:v>13800</c:v>
                </c:pt>
                <c:pt idx="20">
                  <c:v>13800</c:v>
                </c:pt>
                <c:pt idx="21">
                  <c:v>13800</c:v>
                </c:pt>
                <c:pt idx="22">
                  <c:v>13800</c:v>
                </c:pt>
                <c:pt idx="23">
                  <c:v>13800</c:v>
                </c:pt>
                <c:pt idx="24">
                  <c:v>14100</c:v>
                </c:pt>
                <c:pt idx="25">
                  <c:v>14100</c:v>
                </c:pt>
                <c:pt idx="26">
                  <c:v>14100</c:v>
                </c:pt>
                <c:pt idx="27">
                  <c:v>14100</c:v>
                </c:pt>
                <c:pt idx="28">
                  <c:v>14100</c:v>
                </c:pt>
                <c:pt idx="29">
                  <c:v>14100</c:v>
                </c:pt>
                <c:pt idx="30">
                  <c:v>14100</c:v>
                </c:pt>
                <c:pt idx="31">
                  <c:v>14100</c:v>
                </c:pt>
                <c:pt idx="32">
                  <c:v>14100</c:v>
                </c:pt>
                <c:pt idx="33">
                  <c:v>14100</c:v>
                </c:pt>
                <c:pt idx="34">
                  <c:v>14100</c:v>
                </c:pt>
                <c:pt idx="35">
                  <c:v>14100</c:v>
                </c:pt>
                <c:pt idx="36">
                  <c:v>14500</c:v>
                </c:pt>
                <c:pt idx="37">
                  <c:v>14500</c:v>
                </c:pt>
                <c:pt idx="38">
                  <c:v>14500</c:v>
                </c:pt>
                <c:pt idx="39">
                  <c:v>14500</c:v>
                </c:pt>
                <c:pt idx="40">
                  <c:v>14500</c:v>
                </c:pt>
                <c:pt idx="41">
                  <c:v>14500</c:v>
                </c:pt>
                <c:pt idx="42">
                  <c:v>14500</c:v>
                </c:pt>
                <c:pt idx="43">
                  <c:v>14500</c:v>
                </c:pt>
                <c:pt idx="44">
                  <c:v>14500</c:v>
                </c:pt>
                <c:pt idx="45">
                  <c:v>14500</c:v>
                </c:pt>
                <c:pt idx="46">
                  <c:v>14500</c:v>
                </c:pt>
                <c:pt idx="47">
                  <c:v>14500</c:v>
                </c:pt>
                <c:pt idx="48">
                  <c:v>14900</c:v>
                </c:pt>
                <c:pt idx="49">
                  <c:v>14900</c:v>
                </c:pt>
                <c:pt idx="50">
                  <c:v>14900</c:v>
                </c:pt>
                <c:pt idx="51">
                  <c:v>14900</c:v>
                </c:pt>
                <c:pt idx="52">
                  <c:v>14900</c:v>
                </c:pt>
                <c:pt idx="53">
                  <c:v>14900</c:v>
                </c:pt>
                <c:pt idx="54">
                  <c:v>14900</c:v>
                </c:pt>
                <c:pt idx="55">
                  <c:v>14900</c:v>
                </c:pt>
                <c:pt idx="56">
                  <c:v>14900</c:v>
                </c:pt>
                <c:pt idx="57">
                  <c:v>14900</c:v>
                </c:pt>
                <c:pt idx="58">
                  <c:v>14900</c:v>
                </c:pt>
                <c:pt idx="59">
                  <c:v>14900</c:v>
                </c:pt>
                <c:pt idx="60">
                  <c:v>14900</c:v>
                </c:pt>
                <c:pt idx="61">
                  <c:v>14900</c:v>
                </c:pt>
                <c:pt idx="62">
                  <c:v>14900</c:v>
                </c:pt>
                <c:pt idx="63">
                  <c:v>14900</c:v>
                </c:pt>
                <c:pt idx="64">
                  <c:v>14900</c:v>
                </c:pt>
                <c:pt idx="65">
                  <c:v>14900</c:v>
                </c:pt>
                <c:pt idx="66">
                  <c:v>14900</c:v>
                </c:pt>
                <c:pt idx="67">
                  <c:v>14900</c:v>
                </c:pt>
                <c:pt idx="68">
                  <c:v>14900</c:v>
                </c:pt>
                <c:pt idx="69">
                  <c:v>14900</c:v>
                </c:pt>
                <c:pt idx="70">
                  <c:v>14900</c:v>
                </c:pt>
                <c:pt idx="71">
                  <c:v>14900</c:v>
                </c:pt>
                <c:pt idx="72">
                  <c:v>15000</c:v>
                </c:pt>
                <c:pt idx="73">
                  <c:v>15000</c:v>
                </c:pt>
                <c:pt idx="74">
                  <c:v>15000</c:v>
                </c:pt>
                <c:pt idx="75">
                  <c:v>15000</c:v>
                </c:pt>
                <c:pt idx="76">
                  <c:v>15000</c:v>
                </c:pt>
                <c:pt idx="77">
                  <c:v>15000</c:v>
                </c:pt>
                <c:pt idx="78">
                  <c:v>15000</c:v>
                </c:pt>
                <c:pt idx="79">
                  <c:v>15000</c:v>
                </c:pt>
                <c:pt idx="80">
                  <c:v>15000</c:v>
                </c:pt>
                <c:pt idx="81">
                  <c:v>15000</c:v>
                </c:pt>
                <c:pt idx="82">
                  <c:v>15000</c:v>
                </c:pt>
                <c:pt idx="83">
                  <c:v>15000</c:v>
                </c:pt>
                <c:pt idx="84">
                  <c:v>15200</c:v>
                </c:pt>
                <c:pt idx="85">
                  <c:v>15200</c:v>
                </c:pt>
                <c:pt idx="86">
                  <c:v>15200</c:v>
                </c:pt>
                <c:pt idx="87">
                  <c:v>15200</c:v>
                </c:pt>
                <c:pt idx="88">
                  <c:v>15200</c:v>
                </c:pt>
                <c:pt idx="89">
                  <c:v>15200</c:v>
                </c:pt>
                <c:pt idx="90">
                  <c:v>15200</c:v>
                </c:pt>
                <c:pt idx="91">
                  <c:v>15200</c:v>
                </c:pt>
                <c:pt idx="92">
                  <c:v>15200</c:v>
                </c:pt>
                <c:pt idx="93">
                  <c:v>15200</c:v>
                </c:pt>
                <c:pt idx="94">
                  <c:v>15200</c:v>
                </c:pt>
                <c:pt idx="95">
                  <c:v>15200</c:v>
                </c:pt>
                <c:pt idx="96">
                  <c:v>15200</c:v>
                </c:pt>
                <c:pt idx="97">
                  <c:v>15200</c:v>
                </c:pt>
                <c:pt idx="98">
                  <c:v>15200</c:v>
                </c:pt>
                <c:pt idx="99">
                  <c:v>15200</c:v>
                </c:pt>
                <c:pt idx="100">
                  <c:v>15200</c:v>
                </c:pt>
                <c:pt idx="101">
                  <c:v>15200</c:v>
                </c:pt>
                <c:pt idx="102">
                  <c:v>15200</c:v>
                </c:pt>
                <c:pt idx="103">
                  <c:v>15200</c:v>
                </c:pt>
                <c:pt idx="104">
                  <c:v>15200</c:v>
                </c:pt>
                <c:pt idx="105">
                  <c:v>15200</c:v>
                </c:pt>
                <c:pt idx="106">
                  <c:v>15200</c:v>
                </c:pt>
                <c:pt idx="107">
                  <c:v>15200</c:v>
                </c:pt>
                <c:pt idx="108">
                  <c:v>15200</c:v>
                </c:pt>
                <c:pt idx="109">
                  <c:v>15200</c:v>
                </c:pt>
                <c:pt idx="110">
                  <c:v>15200</c:v>
                </c:pt>
                <c:pt idx="111">
                  <c:v>15200</c:v>
                </c:pt>
                <c:pt idx="112">
                  <c:v>15200</c:v>
                </c:pt>
                <c:pt idx="113">
                  <c:v>15200</c:v>
                </c:pt>
                <c:pt idx="114">
                  <c:v>15200</c:v>
                </c:pt>
                <c:pt idx="115">
                  <c:v>15200</c:v>
                </c:pt>
                <c:pt idx="116">
                  <c:v>15200</c:v>
                </c:pt>
                <c:pt idx="117">
                  <c:v>15200</c:v>
                </c:pt>
                <c:pt idx="118">
                  <c:v>15200</c:v>
                </c:pt>
                <c:pt idx="119">
                  <c:v>15200</c:v>
                </c:pt>
                <c:pt idx="120">
                  <c:v>15200</c:v>
                </c:pt>
                <c:pt idx="121">
                  <c:v>15200</c:v>
                </c:pt>
                <c:pt idx="122">
                  <c:v>15200</c:v>
                </c:pt>
                <c:pt idx="123">
                  <c:v>15200</c:v>
                </c:pt>
                <c:pt idx="124">
                  <c:v>15200</c:v>
                </c:pt>
                <c:pt idx="125">
                  <c:v>15200</c:v>
                </c:pt>
                <c:pt idx="126">
                  <c:v>15200</c:v>
                </c:pt>
                <c:pt idx="127">
                  <c:v>15200</c:v>
                </c:pt>
                <c:pt idx="128">
                  <c:v>15200</c:v>
                </c:pt>
                <c:pt idx="129">
                  <c:v>15200</c:v>
                </c:pt>
                <c:pt idx="130">
                  <c:v>15200</c:v>
                </c:pt>
                <c:pt idx="131">
                  <c:v>15200</c:v>
                </c:pt>
                <c:pt idx="132">
                  <c:v>15200</c:v>
                </c:pt>
                <c:pt idx="133">
                  <c:v>15200</c:v>
                </c:pt>
                <c:pt idx="134">
                  <c:v>15200</c:v>
                </c:pt>
                <c:pt idx="135">
                  <c:v>15200</c:v>
                </c:pt>
                <c:pt idx="136">
                  <c:v>15200</c:v>
                </c:pt>
                <c:pt idx="137">
                  <c:v>15200</c:v>
                </c:pt>
                <c:pt idx="138">
                  <c:v>15200</c:v>
                </c:pt>
                <c:pt idx="139">
                  <c:v>15200</c:v>
                </c:pt>
                <c:pt idx="140">
                  <c:v>15200</c:v>
                </c:pt>
                <c:pt idx="141">
                  <c:v>15200</c:v>
                </c:pt>
                <c:pt idx="142">
                  <c:v>15200</c:v>
                </c:pt>
                <c:pt idx="143">
                  <c:v>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D6-4CCD-8208-596AD529B11B}"/>
            </c:ext>
          </c:extLst>
        </c:ser>
        <c:ser>
          <c:idx val="2"/>
          <c:order val="2"/>
          <c:tx>
            <c:strRef>
              <c:f>'Fluxo de Caixa'!$O$1</c:f>
              <c:strCache>
                <c:ptCount val="1"/>
                <c:pt idx="0">
                  <c:v>Geração Caixa Previsto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Caixa'!$O$2:$O$145</c:f>
              <c:numCache>
                <c:formatCode>_("R$"* #,##0.00_);_("R$"* \(#,##0.00\);_("R$"* "-"??_);_(@_)</c:formatCode>
                <c:ptCount val="14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  <c:pt idx="22">
                  <c:v>1800</c:v>
                </c:pt>
                <c:pt idx="23">
                  <c:v>1800</c:v>
                </c:pt>
                <c:pt idx="24">
                  <c:v>1900</c:v>
                </c:pt>
                <c:pt idx="25">
                  <c:v>1900</c:v>
                </c:pt>
                <c:pt idx="26">
                  <c:v>1900</c:v>
                </c:pt>
                <c:pt idx="27">
                  <c:v>1900</c:v>
                </c:pt>
                <c:pt idx="28">
                  <c:v>1900</c:v>
                </c:pt>
                <c:pt idx="29">
                  <c:v>1900</c:v>
                </c:pt>
                <c:pt idx="30">
                  <c:v>1900</c:v>
                </c:pt>
                <c:pt idx="31">
                  <c:v>1900</c:v>
                </c:pt>
                <c:pt idx="32">
                  <c:v>1900</c:v>
                </c:pt>
                <c:pt idx="33">
                  <c:v>1900</c:v>
                </c:pt>
                <c:pt idx="34">
                  <c:v>1900</c:v>
                </c:pt>
                <c:pt idx="35">
                  <c:v>1900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2100</c:v>
                </c:pt>
                <c:pt idx="49">
                  <c:v>2100</c:v>
                </c:pt>
                <c:pt idx="50">
                  <c:v>2100</c:v>
                </c:pt>
                <c:pt idx="51">
                  <c:v>2100</c:v>
                </c:pt>
                <c:pt idx="52">
                  <c:v>2100</c:v>
                </c:pt>
                <c:pt idx="53">
                  <c:v>2100</c:v>
                </c:pt>
                <c:pt idx="54">
                  <c:v>2100</c:v>
                </c:pt>
                <c:pt idx="55">
                  <c:v>2100</c:v>
                </c:pt>
                <c:pt idx="56">
                  <c:v>2100</c:v>
                </c:pt>
                <c:pt idx="57">
                  <c:v>2100</c:v>
                </c:pt>
                <c:pt idx="58">
                  <c:v>2100</c:v>
                </c:pt>
                <c:pt idx="59">
                  <c:v>2100</c:v>
                </c:pt>
                <c:pt idx="60">
                  <c:v>2600</c:v>
                </c:pt>
                <c:pt idx="61">
                  <c:v>2600</c:v>
                </c:pt>
                <c:pt idx="62">
                  <c:v>2600</c:v>
                </c:pt>
                <c:pt idx="63">
                  <c:v>2600</c:v>
                </c:pt>
                <c:pt idx="64">
                  <c:v>2600</c:v>
                </c:pt>
                <c:pt idx="65">
                  <c:v>2600</c:v>
                </c:pt>
                <c:pt idx="66">
                  <c:v>2600</c:v>
                </c:pt>
                <c:pt idx="67">
                  <c:v>2600</c:v>
                </c:pt>
                <c:pt idx="68">
                  <c:v>2600</c:v>
                </c:pt>
                <c:pt idx="69">
                  <c:v>2600</c:v>
                </c:pt>
                <c:pt idx="70">
                  <c:v>2600</c:v>
                </c:pt>
                <c:pt idx="71">
                  <c:v>2600</c:v>
                </c:pt>
                <c:pt idx="72">
                  <c:v>2800</c:v>
                </c:pt>
                <c:pt idx="73">
                  <c:v>2800</c:v>
                </c:pt>
                <c:pt idx="74">
                  <c:v>2800</c:v>
                </c:pt>
                <c:pt idx="75">
                  <c:v>2800</c:v>
                </c:pt>
                <c:pt idx="76">
                  <c:v>2800</c:v>
                </c:pt>
                <c:pt idx="77">
                  <c:v>2800</c:v>
                </c:pt>
                <c:pt idx="78">
                  <c:v>2800</c:v>
                </c:pt>
                <c:pt idx="79">
                  <c:v>2800</c:v>
                </c:pt>
                <c:pt idx="80">
                  <c:v>2800</c:v>
                </c:pt>
                <c:pt idx="81">
                  <c:v>2800</c:v>
                </c:pt>
                <c:pt idx="82">
                  <c:v>2800</c:v>
                </c:pt>
                <c:pt idx="83">
                  <c:v>2800</c:v>
                </c:pt>
                <c:pt idx="84">
                  <c:v>2800</c:v>
                </c:pt>
                <c:pt idx="85">
                  <c:v>2800</c:v>
                </c:pt>
                <c:pt idx="86">
                  <c:v>2800</c:v>
                </c:pt>
                <c:pt idx="87">
                  <c:v>2800</c:v>
                </c:pt>
                <c:pt idx="88">
                  <c:v>2800</c:v>
                </c:pt>
                <c:pt idx="89">
                  <c:v>2800</c:v>
                </c:pt>
                <c:pt idx="90">
                  <c:v>2800</c:v>
                </c:pt>
                <c:pt idx="91">
                  <c:v>2800</c:v>
                </c:pt>
                <c:pt idx="92">
                  <c:v>2800</c:v>
                </c:pt>
                <c:pt idx="93">
                  <c:v>2800</c:v>
                </c:pt>
                <c:pt idx="94">
                  <c:v>2800</c:v>
                </c:pt>
                <c:pt idx="95">
                  <c:v>2800</c:v>
                </c:pt>
                <c:pt idx="96">
                  <c:v>2800</c:v>
                </c:pt>
                <c:pt idx="97">
                  <c:v>2800</c:v>
                </c:pt>
                <c:pt idx="98">
                  <c:v>2800</c:v>
                </c:pt>
                <c:pt idx="99">
                  <c:v>2800</c:v>
                </c:pt>
                <c:pt idx="100">
                  <c:v>2800</c:v>
                </c:pt>
                <c:pt idx="101">
                  <c:v>2800</c:v>
                </c:pt>
                <c:pt idx="102">
                  <c:v>2800</c:v>
                </c:pt>
                <c:pt idx="103">
                  <c:v>2800</c:v>
                </c:pt>
                <c:pt idx="104">
                  <c:v>2800</c:v>
                </c:pt>
                <c:pt idx="105">
                  <c:v>2800</c:v>
                </c:pt>
                <c:pt idx="106">
                  <c:v>2800</c:v>
                </c:pt>
                <c:pt idx="107">
                  <c:v>2800</c:v>
                </c:pt>
                <c:pt idx="108">
                  <c:v>2800</c:v>
                </c:pt>
                <c:pt idx="109">
                  <c:v>2800</c:v>
                </c:pt>
                <c:pt idx="110">
                  <c:v>2800</c:v>
                </c:pt>
                <c:pt idx="111">
                  <c:v>2800</c:v>
                </c:pt>
                <c:pt idx="112">
                  <c:v>2800</c:v>
                </c:pt>
                <c:pt idx="113">
                  <c:v>2800</c:v>
                </c:pt>
                <c:pt idx="114">
                  <c:v>2800</c:v>
                </c:pt>
                <c:pt idx="115">
                  <c:v>2800</c:v>
                </c:pt>
                <c:pt idx="116">
                  <c:v>2800</c:v>
                </c:pt>
                <c:pt idx="117">
                  <c:v>2800</c:v>
                </c:pt>
                <c:pt idx="118">
                  <c:v>2800</c:v>
                </c:pt>
                <c:pt idx="119">
                  <c:v>2800</c:v>
                </c:pt>
                <c:pt idx="120">
                  <c:v>2800</c:v>
                </c:pt>
                <c:pt idx="121">
                  <c:v>2800</c:v>
                </c:pt>
                <c:pt idx="122">
                  <c:v>2800</c:v>
                </c:pt>
                <c:pt idx="123">
                  <c:v>2800</c:v>
                </c:pt>
                <c:pt idx="124">
                  <c:v>2800</c:v>
                </c:pt>
                <c:pt idx="125">
                  <c:v>2800</c:v>
                </c:pt>
                <c:pt idx="126">
                  <c:v>2800</c:v>
                </c:pt>
                <c:pt idx="127">
                  <c:v>2800</c:v>
                </c:pt>
                <c:pt idx="128">
                  <c:v>2800</c:v>
                </c:pt>
                <c:pt idx="129">
                  <c:v>2800</c:v>
                </c:pt>
                <c:pt idx="130">
                  <c:v>2800</c:v>
                </c:pt>
                <c:pt idx="131">
                  <c:v>2800</c:v>
                </c:pt>
                <c:pt idx="132">
                  <c:v>2800</c:v>
                </c:pt>
                <c:pt idx="133">
                  <c:v>2800</c:v>
                </c:pt>
                <c:pt idx="134">
                  <c:v>2800</c:v>
                </c:pt>
                <c:pt idx="135">
                  <c:v>2800</c:v>
                </c:pt>
                <c:pt idx="136">
                  <c:v>2800</c:v>
                </c:pt>
                <c:pt idx="137">
                  <c:v>2800</c:v>
                </c:pt>
                <c:pt idx="138">
                  <c:v>2800</c:v>
                </c:pt>
                <c:pt idx="139">
                  <c:v>2800</c:v>
                </c:pt>
                <c:pt idx="140">
                  <c:v>2800</c:v>
                </c:pt>
                <c:pt idx="141">
                  <c:v>2800</c:v>
                </c:pt>
                <c:pt idx="142">
                  <c:v>2800</c:v>
                </c:pt>
                <c:pt idx="143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D6-4CCD-8208-596AD529B11B}"/>
            </c:ext>
          </c:extLst>
        </c:ser>
        <c:ser>
          <c:idx val="4"/>
          <c:order val="4"/>
          <c:tx>
            <c:strRef>
              <c:f>'Fluxo de Caixa'!$B$1</c:f>
              <c:strCache>
                <c:ptCount val="1"/>
                <c:pt idx="0">
                  <c:v>Receita Realizado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Caixa'!$B$2:$B$145</c:f>
              <c:numCache>
                <c:formatCode>_("R$"* #,##0.00_);_("R$"* \(#,##0.00\);_("R$"* "-"??_);_(@_)</c:formatCode>
                <c:ptCount val="144"/>
                <c:pt idx="0">
                  <c:v>13000</c:v>
                </c:pt>
                <c:pt idx="1">
                  <c:v>13000</c:v>
                </c:pt>
                <c:pt idx="2">
                  <c:v>13500</c:v>
                </c:pt>
                <c:pt idx="3">
                  <c:v>13000</c:v>
                </c:pt>
                <c:pt idx="4">
                  <c:v>12000</c:v>
                </c:pt>
                <c:pt idx="5">
                  <c:v>14000</c:v>
                </c:pt>
                <c:pt idx="6">
                  <c:v>13500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D6-4CCD-8208-596AD529B11B}"/>
            </c:ext>
          </c:extLst>
        </c:ser>
        <c:ser>
          <c:idx val="5"/>
          <c:order val="5"/>
          <c:tx>
            <c:strRef>
              <c:f>'Fluxo de Caixa'!$C$1</c:f>
              <c:strCache>
                <c:ptCount val="1"/>
                <c:pt idx="0">
                  <c:v>Despesa Realizado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Caixa'!$C$2:$C$145</c:f>
              <c:numCache>
                <c:formatCode>_("R$"* #,##0.00_);_("R$"* \(#,##0.00\);_("R$"* "-"??_);_(@_)</c:formatCode>
                <c:ptCount val="144"/>
                <c:pt idx="0">
                  <c:v>13652.32</c:v>
                </c:pt>
                <c:pt idx="1">
                  <c:v>12163.89</c:v>
                </c:pt>
                <c:pt idx="2">
                  <c:v>12038.5</c:v>
                </c:pt>
                <c:pt idx="3">
                  <c:v>12596.53</c:v>
                </c:pt>
                <c:pt idx="4">
                  <c:v>10058.870000000001</c:v>
                </c:pt>
                <c:pt idx="5">
                  <c:v>13691.92</c:v>
                </c:pt>
                <c:pt idx="6">
                  <c:v>12105.449999999999</c:v>
                </c:pt>
                <c:pt idx="7">
                  <c:v>14434.79</c:v>
                </c:pt>
                <c:pt idx="8">
                  <c:v>10691.68</c:v>
                </c:pt>
                <c:pt idx="9">
                  <c:v>12252.759999999998</c:v>
                </c:pt>
                <c:pt idx="10">
                  <c:v>12282.810000000001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D6-4CCD-8208-596AD529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996448"/>
        <c:axId val="2051980224"/>
      </c:lineChart>
      <c:dateAx>
        <c:axId val="205199644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80224"/>
        <c:crosses val="autoZero"/>
        <c:auto val="1"/>
        <c:lblOffset val="100"/>
        <c:baseTimeUnit val="months"/>
      </c:dateAx>
      <c:valAx>
        <c:axId val="20519802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PATRIMÔNIO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'Fluxo de Caixa'!$L$1</c:f>
              <c:strCache>
                <c:ptCount val="1"/>
                <c:pt idx="0">
                  <c:v>Patrimônio Líquido Realizado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Caixa'!$L$2:$L$145</c:f>
              <c:numCache>
                <c:formatCode>_("R$"* #,##0.00_);_("R$"* \(#,##0.00\);_("R$"* "-"??_);_(@_)</c:formatCode>
                <c:ptCount val="144"/>
                <c:pt idx="0">
                  <c:v>118692.68</c:v>
                </c:pt>
                <c:pt idx="1">
                  <c:v>119892.56</c:v>
                </c:pt>
                <c:pt idx="2">
                  <c:v>122172.18999999999</c:v>
                </c:pt>
                <c:pt idx="3">
                  <c:v>123130.97</c:v>
                </c:pt>
                <c:pt idx="4">
                  <c:v>125951.12999999999</c:v>
                </c:pt>
                <c:pt idx="5">
                  <c:v>127071.70999999999</c:v>
                </c:pt>
                <c:pt idx="6">
                  <c:v>128613.20999999999</c:v>
                </c:pt>
                <c:pt idx="7">
                  <c:v>128568.26999999999</c:v>
                </c:pt>
                <c:pt idx="8">
                  <c:v>131826.23999999999</c:v>
                </c:pt>
                <c:pt idx="9">
                  <c:v>133719.32</c:v>
                </c:pt>
                <c:pt idx="10">
                  <c:v>135801.46000000002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4F3-8136-F42D1DD7B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996448"/>
        <c:axId val="2051980224"/>
      </c:barChart>
      <c:lineChart>
        <c:grouping val="standard"/>
        <c:varyColors val="0"/>
        <c:ser>
          <c:idx val="4"/>
          <c:order val="0"/>
          <c:tx>
            <c:strRef>
              <c:f>'Fluxo de Caixa'!$X$1</c:f>
              <c:strCache>
                <c:ptCount val="1"/>
                <c:pt idx="0">
                  <c:v>Patrimônio Líquido Previsto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'Fluxo de Caixa'!$A$2:$A$145</c:f>
              <c:numCache>
                <c:formatCode>[$-416]mmm\-yy;@</c:formatCode>
                <c:ptCount val="14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  <c:pt idx="60">
                  <c:v>46753</c:v>
                </c:pt>
                <c:pt idx="61">
                  <c:v>46784</c:v>
                </c:pt>
                <c:pt idx="62">
                  <c:v>46813</c:v>
                </c:pt>
                <c:pt idx="63">
                  <c:v>46844</c:v>
                </c:pt>
                <c:pt idx="64">
                  <c:v>46874</c:v>
                </c:pt>
                <c:pt idx="65">
                  <c:v>46905</c:v>
                </c:pt>
                <c:pt idx="66">
                  <c:v>46935</c:v>
                </c:pt>
                <c:pt idx="67">
                  <c:v>46966</c:v>
                </c:pt>
                <c:pt idx="68">
                  <c:v>46997</c:v>
                </c:pt>
                <c:pt idx="69">
                  <c:v>47027</c:v>
                </c:pt>
                <c:pt idx="70">
                  <c:v>47058</c:v>
                </c:pt>
                <c:pt idx="71">
                  <c:v>47088</c:v>
                </c:pt>
                <c:pt idx="72">
                  <c:v>47119</c:v>
                </c:pt>
                <c:pt idx="73">
                  <c:v>47150</c:v>
                </c:pt>
                <c:pt idx="74">
                  <c:v>47178</c:v>
                </c:pt>
                <c:pt idx="75">
                  <c:v>47209</c:v>
                </c:pt>
                <c:pt idx="76">
                  <c:v>47239</c:v>
                </c:pt>
                <c:pt idx="77">
                  <c:v>47270</c:v>
                </c:pt>
                <c:pt idx="78">
                  <c:v>47300</c:v>
                </c:pt>
                <c:pt idx="79">
                  <c:v>47331</c:v>
                </c:pt>
                <c:pt idx="80">
                  <c:v>47362</c:v>
                </c:pt>
                <c:pt idx="81">
                  <c:v>47392</c:v>
                </c:pt>
                <c:pt idx="82">
                  <c:v>47423</c:v>
                </c:pt>
                <c:pt idx="83">
                  <c:v>47453</c:v>
                </c:pt>
                <c:pt idx="84">
                  <c:v>47484</c:v>
                </c:pt>
                <c:pt idx="85">
                  <c:v>47515</c:v>
                </c:pt>
                <c:pt idx="86">
                  <c:v>47543</c:v>
                </c:pt>
                <c:pt idx="87">
                  <c:v>47574</c:v>
                </c:pt>
                <c:pt idx="88">
                  <c:v>47604</c:v>
                </c:pt>
                <c:pt idx="89">
                  <c:v>47635</c:v>
                </c:pt>
                <c:pt idx="90">
                  <c:v>47665</c:v>
                </c:pt>
                <c:pt idx="91">
                  <c:v>47696</c:v>
                </c:pt>
                <c:pt idx="92">
                  <c:v>47727</c:v>
                </c:pt>
                <c:pt idx="93">
                  <c:v>47757</c:v>
                </c:pt>
                <c:pt idx="94">
                  <c:v>47788</c:v>
                </c:pt>
                <c:pt idx="95">
                  <c:v>47818</c:v>
                </c:pt>
                <c:pt idx="96">
                  <c:v>47849</c:v>
                </c:pt>
                <c:pt idx="97">
                  <c:v>47880</c:v>
                </c:pt>
                <c:pt idx="98">
                  <c:v>47908</c:v>
                </c:pt>
                <c:pt idx="99">
                  <c:v>47939</c:v>
                </c:pt>
                <c:pt idx="100">
                  <c:v>47969</c:v>
                </c:pt>
                <c:pt idx="101">
                  <c:v>48000</c:v>
                </c:pt>
                <c:pt idx="102">
                  <c:v>48030</c:v>
                </c:pt>
                <c:pt idx="103">
                  <c:v>48061</c:v>
                </c:pt>
                <c:pt idx="104">
                  <c:v>48092</c:v>
                </c:pt>
                <c:pt idx="105">
                  <c:v>48122</c:v>
                </c:pt>
                <c:pt idx="106">
                  <c:v>48153</c:v>
                </c:pt>
                <c:pt idx="107">
                  <c:v>48183</c:v>
                </c:pt>
                <c:pt idx="108">
                  <c:v>48214</c:v>
                </c:pt>
                <c:pt idx="109">
                  <c:v>48245</c:v>
                </c:pt>
                <c:pt idx="110">
                  <c:v>48274</c:v>
                </c:pt>
                <c:pt idx="111">
                  <c:v>48305</c:v>
                </c:pt>
                <c:pt idx="112">
                  <c:v>48335</c:v>
                </c:pt>
                <c:pt idx="113">
                  <c:v>48366</c:v>
                </c:pt>
                <c:pt idx="114">
                  <c:v>48396</c:v>
                </c:pt>
                <c:pt idx="115">
                  <c:v>48427</c:v>
                </c:pt>
                <c:pt idx="116">
                  <c:v>48458</c:v>
                </c:pt>
                <c:pt idx="117">
                  <c:v>48488</c:v>
                </c:pt>
                <c:pt idx="118">
                  <c:v>48519</c:v>
                </c:pt>
                <c:pt idx="119">
                  <c:v>48549</c:v>
                </c:pt>
                <c:pt idx="120">
                  <c:v>48580</c:v>
                </c:pt>
                <c:pt idx="121">
                  <c:v>48611</c:v>
                </c:pt>
                <c:pt idx="122">
                  <c:v>48639</c:v>
                </c:pt>
                <c:pt idx="123">
                  <c:v>48670</c:v>
                </c:pt>
                <c:pt idx="124">
                  <c:v>48700</c:v>
                </c:pt>
                <c:pt idx="125">
                  <c:v>48731</c:v>
                </c:pt>
                <c:pt idx="126">
                  <c:v>48761</c:v>
                </c:pt>
                <c:pt idx="127">
                  <c:v>48792</c:v>
                </c:pt>
                <c:pt idx="128">
                  <c:v>48823</c:v>
                </c:pt>
                <c:pt idx="129">
                  <c:v>48853</c:v>
                </c:pt>
                <c:pt idx="130">
                  <c:v>48884</c:v>
                </c:pt>
                <c:pt idx="131">
                  <c:v>48914</c:v>
                </c:pt>
                <c:pt idx="132">
                  <c:v>48945</c:v>
                </c:pt>
                <c:pt idx="133">
                  <c:v>48976</c:v>
                </c:pt>
                <c:pt idx="134">
                  <c:v>49004</c:v>
                </c:pt>
                <c:pt idx="135">
                  <c:v>49035</c:v>
                </c:pt>
                <c:pt idx="136">
                  <c:v>49065</c:v>
                </c:pt>
                <c:pt idx="137">
                  <c:v>49096</c:v>
                </c:pt>
                <c:pt idx="138">
                  <c:v>49126</c:v>
                </c:pt>
                <c:pt idx="139">
                  <c:v>49157</c:v>
                </c:pt>
                <c:pt idx="140">
                  <c:v>49188</c:v>
                </c:pt>
                <c:pt idx="141">
                  <c:v>49218</c:v>
                </c:pt>
                <c:pt idx="142">
                  <c:v>49249</c:v>
                </c:pt>
                <c:pt idx="143">
                  <c:v>49279</c:v>
                </c:pt>
              </c:numCache>
            </c:numRef>
          </c:cat>
          <c:val>
            <c:numRef>
              <c:f>'Fluxo de Caixa'!$X$2:$X$145</c:f>
              <c:numCache>
                <c:formatCode>_-"R$"* #,##0.00_-;\-"R$"* #,##0.00_-;_-"R$"* "-"??_-;_-@_-</c:formatCode>
                <c:ptCount val="144"/>
                <c:pt idx="0">
                  <c:v>117979.90999999999</c:v>
                </c:pt>
                <c:pt idx="1">
                  <c:v>120657.258575</c:v>
                </c:pt>
                <c:pt idx="2">
                  <c:v>123353.74269935272</c:v>
                </c:pt>
                <c:pt idx="3">
                  <c:v>126069.53570300917</c:v>
                </c:pt>
                <c:pt idx="4">
                  <c:v>128804.81244072484</c:v>
                </c:pt>
                <c:pt idx="5">
                  <c:v>131559.74930565601</c:v>
                </c:pt>
                <c:pt idx="6">
                  <c:v>134334.5242430775</c:v>
                </c:pt>
                <c:pt idx="7">
                  <c:v>137129.31676422185</c:v>
                </c:pt>
                <c:pt idx="8">
                  <c:v>139944.30796024206</c:v>
                </c:pt>
                <c:pt idx="9">
                  <c:v>142779.68051629845</c:v>
                </c:pt>
                <c:pt idx="10">
                  <c:v>145635.61872577042</c:v>
                </c:pt>
                <c:pt idx="11">
                  <c:v>148512.30850459507</c:v>
                </c:pt>
                <c:pt idx="12">
                  <c:v>153009.93740573339</c:v>
                </c:pt>
                <c:pt idx="13">
                  <c:v>157542.93463376438</c:v>
                </c:pt>
                <c:pt idx="14">
                  <c:v>162111.61779561007</c:v>
                </c:pt>
                <c:pt idx="15">
                  <c:v>166716.30730734105</c:v>
                </c:pt>
                <c:pt idx="16">
                  <c:v>171357.32641920293</c:v>
                </c:pt>
                <c:pt idx="17">
                  <c:v>176035.00124086521</c:v>
                </c:pt>
                <c:pt idx="18">
                  <c:v>180749.66076689493</c:v>
                </c:pt>
                <c:pt idx="19">
                  <c:v>185501.6369024571</c:v>
                </c:pt>
                <c:pt idx="20">
                  <c:v>190291.26448924333</c:v>
                </c:pt>
                <c:pt idx="21">
                  <c:v>195118.88133163168</c:v>
                </c:pt>
                <c:pt idx="22">
                  <c:v>199984.82822307883</c:v>
                </c:pt>
                <c:pt idx="23">
                  <c:v>204889.44897274734</c:v>
                </c:pt>
                <c:pt idx="24">
                  <c:v>210033.09043236967</c:v>
                </c:pt>
                <c:pt idx="25">
                  <c:v>215217.88252335123</c:v>
                </c:pt>
                <c:pt idx="26">
                  <c:v>220444.19410611474</c:v>
                </c:pt>
                <c:pt idx="27">
                  <c:v>225712.39730668123</c:v>
                </c:pt>
                <c:pt idx="28">
                  <c:v>231022.8675457582</c:v>
                </c:pt>
                <c:pt idx="29">
                  <c:v>236375.98356808591</c:v>
                </c:pt>
                <c:pt idx="30">
                  <c:v>241772.12747204531</c:v>
                </c:pt>
                <c:pt idx="31">
                  <c:v>247211.68473952904</c:v>
                </c:pt>
                <c:pt idx="32">
                  <c:v>252695.04426607833</c:v>
                </c:pt>
                <c:pt idx="33">
                  <c:v>258222.59839128831</c:v>
                </c:pt>
                <c:pt idx="34">
                  <c:v>263794.74292948318</c:v>
                </c:pt>
                <c:pt idx="35">
                  <c:v>269411.87720066513</c:v>
                </c:pt>
                <c:pt idx="36">
                  <c:v>275274.40406173794</c:v>
                </c:pt>
                <c:pt idx="37">
                  <c:v>281184.50993800897</c:v>
                </c:pt>
                <c:pt idx="38">
                  <c:v>287142.62069697073</c:v>
                </c:pt>
                <c:pt idx="39">
                  <c:v>293149.16597936</c:v>
                </c:pt>
                <c:pt idx="40">
                  <c:v>299204.57923276222</c:v>
                </c:pt>
                <c:pt idx="41">
                  <c:v>305309.29774551583</c:v>
                </c:pt>
                <c:pt idx="42">
                  <c:v>311463.76268091775</c:v>
                </c:pt>
                <c:pt idx="43">
                  <c:v>317668.41911173315</c:v>
                </c:pt>
                <c:pt idx="44">
                  <c:v>323923.71605501272</c:v>
                </c:pt>
                <c:pt idx="45">
                  <c:v>330230.10650721943</c:v>
                </c:pt>
                <c:pt idx="46">
                  <c:v>336588.0474796677</c:v>
                </c:pt>
                <c:pt idx="47">
                  <c:v>342998.00003427861</c:v>
                </c:pt>
                <c:pt idx="48">
                  <c:v>349660.42931965191</c:v>
                </c:pt>
                <c:pt idx="49">
                  <c:v>356377.58460746089</c:v>
                </c:pt>
                <c:pt idx="50">
                  <c:v>363149.95517116896</c:v>
                </c:pt>
                <c:pt idx="51">
                  <c:v>369978.03462206881</c:v>
                </c:pt>
                <c:pt idx="52">
                  <c:v>376862.32094791054</c:v>
                </c:pt>
                <c:pt idx="53">
                  <c:v>383803.31655187451</c:v>
                </c:pt>
                <c:pt idx="54">
                  <c:v>390801.52829189051</c:v>
                </c:pt>
                <c:pt idx="55">
                  <c:v>397857.46752030728</c:v>
                </c:pt>
                <c:pt idx="56">
                  <c:v>404971.65012391459</c:v>
                </c:pt>
                <c:pt idx="57">
                  <c:v>412144.59656432096</c:v>
                </c:pt>
                <c:pt idx="58">
                  <c:v>419376.83191869233</c:v>
                </c:pt>
                <c:pt idx="59">
                  <c:v>426668.88592085137</c:v>
                </c:pt>
                <c:pt idx="60">
                  <c:v>435021.29300274351</c:v>
                </c:pt>
                <c:pt idx="61">
                  <c:v>443443.49233627185</c:v>
                </c:pt>
                <c:pt idx="62">
                  <c:v>451936.1070855041</c:v>
                </c:pt>
                <c:pt idx="63">
                  <c:v>460499.7659442242</c:v>
                </c:pt>
                <c:pt idx="64">
                  <c:v>469135.103185168</c:v>
                </c:pt>
                <c:pt idx="65">
                  <c:v>477842.7587096974</c:v>
                </c:pt>
                <c:pt idx="66">
                  <c:v>486623.37809791596</c:v>
                </c:pt>
                <c:pt idx="67">
                  <c:v>495477.612659231</c:v>
                </c:pt>
                <c:pt idx="68">
                  <c:v>504406.11948336521</c:v>
                </c:pt>
                <c:pt idx="69">
                  <c:v>513409.56149182242</c:v>
                </c:pt>
                <c:pt idx="70">
                  <c:v>522488.60748981149</c:v>
                </c:pt>
                <c:pt idx="71">
                  <c:v>531643.93221863196</c:v>
                </c:pt>
                <c:pt idx="72">
                  <c:v>541276.21640852559</c:v>
                </c:pt>
                <c:pt idx="73">
                  <c:v>550989.70683199936</c:v>
                </c:pt>
                <c:pt idx="74">
                  <c:v>560785.12804162153</c:v>
                </c:pt>
                <c:pt idx="75">
                  <c:v>570663.21102228481</c:v>
                </c:pt>
                <c:pt idx="76">
                  <c:v>580624.69324847497</c:v>
                </c:pt>
                <c:pt idx="77">
                  <c:v>590670.31874204753</c:v>
                </c:pt>
                <c:pt idx="78">
                  <c:v>600800.83813052089</c:v>
                </c:pt>
                <c:pt idx="79">
                  <c:v>611017.00870588596</c:v>
                </c:pt>
                <c:pt idx="80">
                  <c:v>621319.59448394086</c:v>
                </c:pt>
                <c:pt idx="81">
                  <c:v>631709.36626415187</c:v>
                </c:pt>
                <c:pt idx="82">
                  <c:v>642187.10169004928</c:v>
                </c:pt>
                <c:pt idx="83">
                  <c:v>652753.5853101589</c:v>
                </c:pt>
                <c:pt idx="84">
                  <c:v>663409.60863947601</c:v>
                </c:pt>
                <c:pt idx="85">
                  <c:v>674155.97022148734</c:v>
                </c:pt>
                <c:pt idx="86">
                  <c:v>684993.47569074435</c:v>
                </c:pt>
                <c:pt idx="87">
                  <c:v>695922.9378359929</c:v>
                </c:pt>
                <c:pt idx="88">
                  <c:v>706945.17666386557</c:v>
                </c:pt>
                <c:pt idx="89">
                  <c:v>718061.01946314028</c:v>
                </c:pt>
                <c:pt idx="90">
                  <c:v>729271.3008695707</c:v>
                </c:pt>
                <c:pt idx="91">
                  <c:v>740576.86293129378</c:v>
                </c:pt>
                <c:pt idx="92">
                  <c:v>751978.55517481954</c:v>
                </c:pt>
                <c:pt idx="93">
                  <c:v>763477.23467160715</c:v>
                </c:pt>
                <c:pt idx="94">
                  <c:v>775073.76610523497</c:v>
                </c:pt>
                <c:pt idx="95">
                  <c:v>786769.02183916711</c:v>
                </c:pt>
                <c:pt idx="96">
                  <c:v>798563.88198512327</c:v>
                </c:pt>
                <c:pt idx="97">
                  <c:v>810459.23447205778</c:v>
                </c:pt>
                <c:pt idx="98">
                  <c:v>822455.97511575115</c:v>
                </c:pt>
                <c:pt idx="99">
                  <c:v>834555.00768902199</c:v>
                </c:pt>
                <c:pt idx="100">
                  <c:v>846757.2439925638</c:v>
                </c:pt>
                <c:pt idx="101">
                  <c:v>859063.60392641113</c:v>
                </c:pt>
                <c:pt idx="102">
                  <c:v>871475.01556204259</c:v>
                </c:pt>
                <c:pt idx="103">
                  <c:v>883992.41521512577</c:v>
                </c:pt>
                <c:pt idx="104">
                  <c:v>896616.747518908</c:v>
                </c:pt>
                <c:pt idx="105">
                  <c:v>909348.96549826185</c:v>
                </c:pt>
                <c:pt idx="106">
                  <c:v>922190.0306443891</c:v>
                </c:pt>
                <c:pt idx="107">
                  <c:v>935140.91299018939</c:v>
                </c:pt>
                <c:pt idx="108">
                  <c:v>948202.59118629852</c:v>
                </c:pt>
                <c:pt idx="109">
                  <c:v>961376.05257780617</c:v>
                </c:pt>
                <c:pt idx="110">
                  <c:v>974662.2932816532</c:v>
                </c:pt>
                <c:pt idx="111">
                  <c:v>988062.31826472026</c:v>
                </c:pt>
                <c:pt idx="112">
                  <c:v>1001577.1414226086</c:v>
                </c:pt>
                <c:pt idx="113">
                  <c:v>1015207.785659126</c:v>
                </c:pt>
                <c:pt idx="114">
                  <c:v>1028955.2829664754</c:v>
                </c:pt>
                <c:pt idx="115">
                  <c:v>1042820.6745061604</c:v>
                </c:pt>
                <c:pt idx="116">
                  <c:v>1056805.0106906099</c:v>
                </c:pt>
                <c:pt idx="117">
                  <c:v>1070909.3512655285</c:v>
                </c:pt>
                <c:pt idx="118">
                  <c:v>1085134.7653929803</c:v>
                </c:pt>
                <c:pt idx="119">
                  <c:v>1099482.3317352124</c:v>
                </c:pt>
                <c:pt idx="120">
                  <c:v>1113953.1385392232</c:v>
                </c:pt>
                <c:pt idx="121">
                  <c:v>1128548.2837220852</c:v>
                </c:pt>
                <c:pt idx="122">
                  <c:v>1143268.8749570248</c:v>
                </c:pt>
                <c:pt idx="123">
                  <c:v>1158116.0297602699</c:v>
                </c:pt>
                <c:pt idx="124">
                  <c:v>1173090.8755786698</c:v>
                </c:pt>
                <c:pt idx="125">
                  <c:v>1188194.549878095</c:v>
                </c:pt>
                <c:pt idx="126">
                  <c:v>1203428.2002326229</c:v>
                </c:pt>
                <c:pt idx="127">
                  <c:v>1218792.9844145183</c:v>
                </c:pt>
                <c:pt idx="128">
                  <c:v>1234290.0704850145</c:v>
                </c:pt>
                <c:pt idx="129">
                  <c:v>1249920.6368859005</c:v>
                </c:pt>
                <c:pt idx="130">
                  <c:v>1265685.8725319277</c:v>
                </c:pt>
                <c:pt idx="131">
                  <c:v>1281586.9769040328</c:v>
                </c:pt>
                <c:pt idx="132">
                  <c:v>1297625.1601433945</c:v>
                </c:pt>
                <c:pt idx="133">
                  <c:v>1313801.6431463277</c:v>
                </c:pt>
                <c:pt idx="134">
                  <c:v>1330117.6576600196</c:v>
                </c:pt>
                <c:pt idx="135">
                  <c:v>1346574.4463791174</c:v>
                </c:pt>
                <c:pt idx="136">
                  <c:v>1363173.263043181</c:v>
                </c:pt>
                <c:pt idx="137">
                  <c:v>1379915.372534995</c:v>
                </c:pt>
                <c:pt idx="138">
                  <c:v>1396802.0509797621</c:v>
                </c:pt>
                <c:pt idx="139">
                  <c:v>1413834.5858451764</c:v>
                </c:pt>
                <c:pt idx="140">
                  <c:v>1431014.2760423869</c:v>
                </c:pt>
                <c:pt idx="141">
                  <c:v>1448342.4320278617</c:v>
                </c:pt>
                <c:pt idx="142">
                  <c:v>1465820.3759061561</c:v>
                </c:pt>
                <c:pt idx="143">
                  <c:v>1483449.4415335972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1-44F3-8136-F42D1DD7B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996448"/>
        <c:axId val="2051980224"/>
      </c:lineChart>
      <c:dateAx>
        <c:axId val="205199644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80224"/>
        <c:crosses val="autoZero"/>
        <c:auto val="1"/>
        <c:lblOffset val="100"/>
        <c:baseTimeUnit val="months"/>
      </c:dateAx>
      <c:valAx>
        <c:axId val="20519802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9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20</xdr:row>
      <xdr:rowOff>99060</xdr:rowOff>
    </xdr:from>
    <xdr:to>
      <xdr:col>22</xdr:col>
      <xdr:colOff>7620</xdr:colOff>
      <xdr:row>40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F59AF-01E0-40FD-984D-477C0C122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21</xdr:col>
      <xdr:colOff>594360</xdr:colOff>
      <xdr:row>19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54C5D9-D493-4CA4-96D5-A8CF6B128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40</xdr:row>
      <xdr:rowOff>129540</xdr:rowOff>
    </xdr:from>
    <xdr:to>
      <xdr:col>22</xdr:col>
      <xdr:colOff>15240</xdr:colOff>
      <xdr:row>60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1867CD-FCFC-422D-ACB7-E360944A3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90A997-F6C1-4DA1-8345-8A56AD17916C}" name="Tabela169" displayName="Tabela169" ref="B7:E50" totalsRowCount="1">
  <autoFilter ref="B7:E49" xr:uid="{7381177D-A9B0-482C-8EB3-3B2A5F80DB0C}"/>
  <sortState xmlns:xlrd2="http://schemas.microsoft.com/office/spreadsheetml/2017/richdata2" ref="B8:E49">
    <sortCondition ref="C7:C49"/>
  </sortState>
  <tableColumns count="4">
    <tableColumn id="1" xr3:uid="{33EB9615-D225-4E53-AB52-96A6E6A2CC74}" name="Despesa"/>
    <tableColumn id="5" xr3:uid="{24734CED-CD1B-4BBE-A77C-8844D0D011C2}" name="Categoria"/>
    <tableColumn id="2" xr3:uid="{97DB36A4-856C-40D7-B767-D5E80A1167FF}" name="Valor Mensal" totalsRowFunction="sum" dataDxfId="27" totalsRowDxfId="1"/>
    <tableColumn id="3" xr3:uid="{870E18A8-B83B-45BE-98CB-643A461B9453}" name="Valor Anual" dataDxfId="26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027762-09C6-4D10-B042-0529C3FCB16A}" name="Tabela19" displayName="Tabela19" ref="B1:D5" totalsRowCount="1">
  <autoFilter ref="B1:D4" xr:uid="{CC3C2ED2-9E76-4667-BA80-9A1F79184F16}"/>
  <tableColumns count="3">
    <tableColumn id="1" xr3:uid="{53D739DD-0D4E-4969-9C34-45013FD62F21}" name="Receita"/>
    <tableColumn id="2" xr3:uid="{B5A17BDB-F35D-4C47-A729-4288E3EBA90F}" name="Categoria"/>
    <tableColumn id="3" xr3:uid="{5CD94BE5-DDD6-4801-8258-E8134EF56C87}" name="Valor Mensal" totalsRowFunction="sum" dataDxfId="25" totalsRowDxfId="24" dataCellStyle="Moeda 2" totalsRowCellStyle="Moeda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6E076B-9B8C-4A7C-AECE-7233EE7D6F0E}" name="Tabela13" displayName="Tabela13" ref="A1:X145" totalsRowShown="0" dataDxfId="23" dataCellStyle="Moeda">
  <autoFilter ref="A1:X145" xr:uid="{32739B82-E7EB-40E4-8378-DC714FCC9544}"/>
  <tableColumns count="24">
    <tableColumn id="1" xr3:uid="{5849C096-10F9-4DC6-9FD1-6402A95AD291}" name="Data" dataDxfId="22"/>
    <tableColumn id="17" xr3:uid="{40FEA36A-F60B-46C5-BF90-D354F257138A}" name="Receita Realizado" dataDxfId="21" dataCellStyle="Moeda 2">
      <calculatedColumnFormula>500+700+480+2000+1500+717.18+8083.1+1600+5470</calculatedColumnFormula>
    </tableColumn>
    <tableColumn id="18" xr3:uid="{B18F28F9-F2B6-425F-B328-8B1FC3DAEFE3}" name="Despesa Realizado" dataCellStyle="Moeda"/>
    <tableColumn id="19" xr3:uid="{1C4508FB-BDB5-4922-A883-EA25EA85FE02}" name="Geração de Caixa Realizado" dataDxfId="20" dataCellStyle="Moeda">
      <calculatedColumnFormula>IF(Tabela13[[#This Row],[Despesa Realizado]]="","",Tabela13[[#This Row],[Receita Realizado]]-Tabela13[[#This Row],[Despesa Realizado]])</calculatedColumnFormula>
    </tableColumn>
    <tableColumn id="2" xr3:uid="{9874EFB0-7835-4B71-8523-FC6BFADD79F1}" name="Aporte Realizado" dataCellStyle="Moeda">
      <calculatedColumnFormula>#REF!</calculatedColumnFormula>
    </tableColumn>
    <tableColumn id="3" xr3:uid="{8FE9BD17-1973-49DA-A1F1-BCFDB76642F0}" name="Rendimento Realizado R$" dataCellStyle="Moeda"/>
    <tableColumn id="4" xr3:uid="{60691FDB-05FA-4AE9-83F1-B36AFE71A8CB}" name="Rendimento Realizado %" dataDxfId="19" dataCellStyle="Porcentagem">
      <calculatedColumnFormula>IF(Tabela13[[#This Row],[Aporte Realizado]]="","",Tabela13[[#This Row],[Rendimento Realizado R$]]/(Tabela13[[#This Row],[Investimentos Realizado]]-(Tabela13[[#This Row],[Aporte Realizado]])))</calculatedColumnFormula>
    </tableColumn>
    <tableColumn id="5" xr3:uid="{15F2D7D9-3E76-4457-8F0B-222448EE3308}" name="Conta Corrente Realizado" dataDxfId="18" dataCellStyle="Porcentagem"/>
    <tableColumn id="11" xr3:uid="{78A8AD0B-863F-4FB9-B3B4-BB9CC8D67814}" name="Investimentos Realizado" dataDxfId="17">
      <calculatedColumnFormula>#REF!</calculatedColumnFormula>
    </tableColumn>
    <tableColumn id="8" xr3:uid="{AF2ADDAC-8178-4EB4-940D-DB85BE33BC6D}" name="Dívidas Realizado" dataDxfId="16"/>
    <tableColumn id="16" xr3:uid="{64066591-60AB-4101-B4FA-D9B2E6F2BBB1}" name="Outros Patrimônios (carros, lotes, casa etc) Realizado" dataDxfId="15"/>
    <tableColumn id="10" xr3:uid="{50CFF856-8CD2-4EC4-B7DA-6E2C27CC4D08}" name="Patrimônio Líquido Realizado" dataDxfId="14">
      <calculatedColumnFormula>Tabela13[[#This Row],[Conta Corrente Realizado]]+Tabela13[[#This Row],[Investimentos Realizado]]-Tabela13[[#This Row],[Dívidas Realizado]]+Tabela13[[#This Row],[Outros Patrimônios (carros, lotes, casa etc) Realizado]]</calculatedColumnFormula>
    </tableColumn>
    <tableColumn id="12" xr3:uid="{4D27CB7D-D839-4C8E-BB03-4B63FAA853F8}" name="Receita Previsto" dataDxfId="13"/>
    <tableColumn id="13" xr3:uid="{AD8EA3D7-D39B-4AB9-9411-17E8BB9AF04F}" name="Despesa Previsto" dataDxfId="12"/>
    <tableColumn id="14" xr3:uid="{1BC04A14-9CB3-41D8-9007-533D2BA7EE27}" name="Geração Caixa Previsto" dataDxfId="11">
      <calculatedColumnFormula>Tabela13[[#This Row],[Receita Previsto]]-Tabela13[[#This Row],[Despesa Previsto]]</calculatedColumnFormula>
    </tableColumn>
    <tableColumn id="15" xr3:uid="{0AB076E3-D7FE-4864-99ED-AEA608E78D7A}" name="Aporte Previsto" dataDxfId="10"/>
    <tableColumn id="6" xr3:uid="{DAB69E33-B17C-4A9C-9BCB-FA2A28785896}" name="Rendimento Previsto R$" dataDxfId="9" dataCellStyle="Moeda">
      <calculatedColumnFormula>S1*R2</calculatedColumnFormula>
    </tableColumn>
    <tableColumn id="7" xr3:uid="{0DCBEFF6-F13D-4EAE-AD68-A6846EC0F6AC}" name="Rendimento Previsto %" dataDxfId="8" dataCellStyle="Porcentagem"/>
    <tableColumn id="9" xr3:uid="{C75D75B3-A876-4B4D-8604-E2D8C084D5E9}" name=" Investimento Previsto" dataDxfId="7" dataCellStyle="Moeda">
      <calculatedColumnFormula>S1+#REF!+Q2</calculatedColumnFormula>
    </tableColumn>
    <tableColumn id="22" xr3:uid="{C869AD73-8637-4D33-A697-4E51342389BF}" name="Dívidas Previsto" dataDxfId="6" dataCellStyle="Moeda 2"/>
    <tableColumn id="23" xr3:uid="{4C87AB8C-F6E1-497E-AE59-385B5F1762C5}" name="Apto Previsto" dataDxfId="5" dataCellStyle="Moeda 2"/>
    <tableColumn id="24" xr3:uid="{D02DCD47-45AA-4889-B73D-36EE2C4B42E9}" name="Carro Previsto" dataDxfId="4" dataCellStyle="Moeda 2"/>
    <tableColumn id="20" xr3:uid="{4BB05DD2-8947-4EF9-A39C-50180445D57A}" name="Outros Patrimônios" dataDxfId="3" dataCellStyle="Moeda">
      <calculatedColumnFormula>Tabela13[[#This Row],[Apto Previsto]]+Tabela13[[#This Row],[Carro Previsto]]</calculatedColumnFormula>
    </tableColumn>
    <tableColumn id="21" xr3:uid="{621445A2-DE00-45AC-A1DA-1E751DF07BB1}" name="Patrimônio Líquido Previsto" dataDxfId="2" dataCellStyle="Moeda">
      <calculatedColumnFormula>Tabela13[[#This Row],[ Investimento Previsto]]-Tabela13[[#This Row],[Dívidas Previsto]]+Tabela13[[#This Row],[Outros Patrimônios]]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87B6-4255-4B49-B564-9C75C5DB4655}">
  <dimension ref="B1:F67"/>
  <sheetViews>
    <sheetView topLeftCell="A40" zoomScale="99" zoomScaleNormal="98" workbookViewId="0">
      <selection activeCell="D53" sqref="D53"/>
    </sheetView>
  </sheetViews>
  <sheetFormatPr defaultRowHeight="14.4" x14ac:dyDescent="0.3"/>
  <cols>
    <col min="1" max="1" width="3.44140625" customWidth="1"/>
    <col min="2" max="2" width="35.33203125" bestFit="1" customWidth="1"/>
    <col min="3" max="3" width="16" bestFit="1" customWidth="1"/>
    <col min="4" max="4" width="15.77734375" style="9" bestFit="1" customWidth="1"/>
    <col min="5" max="5" width="14.109375" style="9" customWidth="1"/>
    <col min="6" max="6" width="14.109375" bestFit="1" customWidth="1"/>
    <col min="7" max="7" width="17.33203125" bestFit="1" customWidth="1"/>
    <col min="8" max="8" width="18.44140625" bestFit="1" customWidth="1"/>
    <col min="9" max="9" width="10.21875" bestFit="1" customWidth="1"/>
    <col min="10" max="10" width="11.5546875" bestFit="1" customWidth="1"/>
  </cols>
  <sheetData>
    <row r="1" spans="2:5" x14ac:dyDescent="0.3">
      <c r="B1" t="s">
        <v>37</v>
      </c>
      <c r="C1" t="s">
        <v>1</v>
      </c>
      <c r="D1" s="9" t="s">
        <v>39</v>
      </c>
    </row>
    <row r="2" spans="2:5" x14ac:dyDescent="0.3">
      <c r="B2" t="s">
        <v>72</v>
      </c>
      <c r="C2" t="s">
        <v>37</v>
      </c>
      <c r="D2" s="9">
        <v>8000</v>
      </c>
    </row>
    <row r="3" spans="2:5" x14ac:dyDescent="0.3">
      <c r="B3" t="s">
        <v>73</v>
      </c>
      <c r="C3" t="s">
        <v>37</v>
      </c>
      <c r="D3" s="9">
        <v>4000</v>
      </c>
    </row>
    <row r="4" spans="2:5" x14ac:dyDescent="0.3">
      <c r="B4" t="s">
        <v>74</v>
      </c>
      <c r="C4" t="s">
        <v>37</v>
      </c>
      <c r="D4" s="9">
        <v>1000</v>
      </c>
    </row>
    <row r="5" spans="2:5" x14ac:dyDescent="0.3">
      <c r="D5" s="7">
        <f>SUBTOTAL(109,Tabela19[Valor Mensal])</f>
        <v>13000</v>
      </c>
    </row>
    <row r="7" spans="2:5" x14ac:dyDescent="0.3">
      <c r="B7" t="s">
        <v>8</v>
      </c>
      <c r="C7" t="s">
        <v>1</v>
      </c>
      <c r="D7" s="9" t="s">
        <v>39</v>
      </c>
      <c r="E7" s="9" t="s">
        <v>51</v>
      </c>
    </row>
    <row r="8" spans="2:5" x14ac:dyDescent="0.3">
      <c r="B8" t="s">
        <v>4</v>
      </c>
      <c r="C8" t="s">
        <v>11</v>
      </c>
      <c r="D8" s="9">
        <f>4*530</f>
        <v>2120</v>
      </c>
    </row>
    <row r="9" spans="2:5" x14ac:dyDescent="0.3">
      <c r="B9" t="s">
        <v>3</v>
      </c>
      <c r="C9" t="s">
        <v>11</v>
      </c>
      <c r="D9" s="14">
        <v>500.19</v>
      </c>
    </row>
    <row r="10" spans="2:5" x14ac:dyDescent="0.3">
      <c r="B10" t="s">
        <v>38</v>
      </c>
      <c r="C10" t="s">
        <v>11</v>
      </c>
      <c r="D10" s="9">
        <f>180*2</f>
        <v>360</v>
      </c>
    </row>
    <row r="11" spans="2:5" x14ac:dyDescent="0.3">
      <c r="B11" t="s">
        <v>49</v>
      </c>
      <c r="C11" t="s">
        <v>11</v>
      </c>
      <c r="D11" s="9">
        <f>Tabela169[[#This Row],[Valor Anual]]/12</f>
        <v>50</v>
      </c>
      <c r="E11" s="9">
        <f>(4*60)+180+180</f>
        <v>600</v>
      </c>
    </row>
    <row r="12" spans="2:5" x14ac:dyDescent="0.3">
      <c r="B12" t="s">
        <v>41</v>
      </c>
      <c r="C12" t="s">
        <v>11</v>
      </c>
      <c r="D12" s="9">
        <v>300</v>
      </c>
    </row>
    <row r="13" spans="2:5" x14ac:dyDescent="0.3">
      <c r="B13" t="s">
        <v>19</v>
      </c>
      <c r="C13" t="s">
        <v>11</v>
      </c>
      <c r="D13" s="14">
        <v>140.91999999999999</v>
      </c>
    </row>
    <row r="14" spans="2:5" x14ac:dyDescent="0.3">
      <c r="B14" t="s">
        <v>16</v>
      </c>
      <c r="C14" t="s">
        <v>11</v>
      </c>
      <c r="D14" s="9">
        <v>137.19</v>
      </c>
    </row>
    <row r="15" spans="2:5" x14ac:dyDescent="0.3">
      <c r="B15" t="s">
        <v>0</v>
      </c>
      <c r="C15" t="s">
        <v>11</v>
      </c>
      <c r="D15" s="9">
        <f>Tabela169[[#This Row],[Valor Anual]]/12</f>
        <v>120.04</v>
      </c>
      <c r="E15" s="9">
        <v>1440.48</v>
      </c>
    </row>
    <row r="16" spans="2:5" x14ac:dyDescent="0.3">
      <c r="B16" t="s">
        <v>2</v>
      </c>
      <c r="C16" t="s">
        <v>11</v>
      </c>
      <c r="D16" s="9">
        <v>90</v>
      </c>
    </row>
    <row r="17" spans="2:4" x14ac:dyDescent="0.3">
      <c r="B17" t="s">
        <v>45</v>
      </c>
      <c r="C17" t="s">
        <v>11</v>
      </c>
      <c r="D17" s="9">
        <f>160/2</f>
        <v>80</v>
      </c>
    </row>
    <row r="18" spans="2:4" x14ac:dyDescent="0.3">
      <c r="B18" t="s">
        <v>17</v>
      </c>
      <c r="C18" t="s">
        <v>11</v>
      </c>
      <c r="D18" s="9">
        <f>200/6</f>
        <v>33.333333333333336</v>
      </c>
    </row>
    <row r="19" spans="2:4" x14ac:dyDescent="0.3">
      <c r="B19" t="s">
        <v>82</v>
      </c>
      <c r="C19" t="s">
        <v>11</v>
      </c>
      <c r="D19" s="14">
        <v>1808.31</v>
      </c>
    </row>
    <row r="20" spans="2:4" x14ac:dyDescent="0.3">
      <c r="B20" t="s">
        <v>52</v>
      </c>
      <c r="C20" t="s">
        <v>12</v>
      </c>
      <c r="D20" s="9">
        <v>400</v>
      </c>
    </row>
    <row r="21" spans="2:4" x14ac:dyDescent="0.3">
      <c r="B21" t="s">
        <v>53</v>
      </c>
      <c r="C21" t="s">
        <v>12</v>
      </c>
      <c r="D21" s="9">
        <v>300</v>
      </c>
    </row>
    <row r="22" spans="2:4" x14ac:dyDescent="0.3">
      <c r="B22" t="s">
        <v>54</v>
      </c>
      <c r="C22" t="s">
        <v>12</v>
      </c>
      <c r="D22" s="14">
        <v>200</v>
      </c>
    </row>
    <row r="23" spans="2:4" x14ac:dyDescent="0.3">
      <c r="B23" t="s">
        <v>55</v>
      </c>
      <c r="C23" t="s">
        <v>12</v>
      </c>
      <c r="D23" s="9">
        <f>71/2</f>
        <v>35.5</v>
      </c>
    </row>
    <row r="24" spans="2:4" x14ac:dyDescent="0.3">
      <c r="B24" t="s">
        <v>56</v>
      </c>
      <c r="C24" t="s">
        <v>12</v>
      </c>
      <c r="D24" s="9">
        <v>150</v>
      </c>
    </row>
    <row r="25" spans="2:4" x14ac:dyDescent="0.3">
      <c r="B25" t="s">
        <v>57</v>
      </c>
      <c r="C25" t="s">
        <v>12</v>
      </c>
      <c r="D25" s="14">
        <v>129.9</v>
      </c>
    </row>
    <row r="26" spans="2:4" x14ac:dyDescent="0.3">
      <c r="B26" t="s">
        <v>58</v>
      </c>
      <c r="C26" t="s">
        <v>12</v>
      </c>
      <c r="D26" s="14">
        <v>50</v>
      </c>
    </row>
    <row r="27" spans="2:4" x14ac:dyDescent="0.3">
      <c r="B27" t="s">
        <v>59</v>
      </c>
      <c r="C27" t="s">
        <v>12</v>
      </c>
      <c r="D27" s="14">
        <v>14.9</v>
      </c>
    </row>
    <row r="28" spans="2:4" x14ac:dyDescent="0.3">
      <c r="B28" t="s">
        <v>50</v>
      </c>
      <c r="C28" t="s">
        <v>12</v>
      </c>
      <c r="D28" s="9">
        <v>150</v>
      </c>
    </row>
    <row r="29" spans="2:4" x14ac:dyDescent="0.3">
      <c r="B29" t="s">
        <v>43</v>
      </c>
      <c r="C29" t="s">
        <v>15</v>
      </c>
      <c r="D29" s="9">
        <f>4*210</f>
        <v>840</v>
      </c>
    </row>
    <row r="30" spans="2:4" x14ac:dyDescent="0.3">
      <c r="B30" t="s">
        <v>44</v>
      </c>
      <c r="C30" t="s">
        <v>15</v>
      </c>
      <c r="D30" s="14">
        <f>4*160</f>
        <v>640</v>
      </c>
    </row>
    <row r="31" spans="2:4" x14ac:dyDescent="0.3">
      <c r="B31" t="s">
        <v>20</v>
      </c>
      <c r="C31" t="s">
        <v>15</v>
      </c>
      <c r="D31" s="9">
        <f>4*150</f>
        <v>600</v>
      </c>
    </row>
    <row r="32" spans="2:4" x14ac:dyDescent="0.3">
      <c r="B32" t="s">
        <v>70</v>
      </c>
      <c r="C32" t="s">
        <v>15</v>
      </c>
      <c r="D32" s="9">
        <f>2*150</f>
        <v>300</v>
      </c>
    </row>
    <row r="33" spans="2:5" x14ac:dyDescent="0.3">
      <c r="B33" t="s">
        <v>46</v>
      </c>
      <c r="C33" t="s">
        <v>15</v>
      </c>
      <c r="D33" s="9">
        <f>Tabela169[[#This Row],[Valor Anual]]/12</f>
        <v>125</v>
      </c>
      <c r="E33" s="9">
        <f>10*150</f>
        <v>1500</v>
      </c>
    </row>
    <row r="34" spans="2:5" x14ac:dyDescent="0.3">
      <c r="B34" t="s">
        <v>69</v>
      </c>
      <c r="C34" t="s">
        <v>15</v>
      </c>
      <c r="D34" s="9">
        <f>Tabela169[[#This Row],[Valor Anual]]/12</f>
        <v>158.33333333333334</v>
      </c>
      <c r="E34" s="9">
        <f>2*950</f>
        <v>1900</v>
      </c>
    </row>
    <row r="35" spans="2:5" x14ac:dyDescent="0.3">
      <c r="B35" t="s">
        <v>21</v>
      </c>
      <c r="C35" t="s">
        <v>15</v>
      </c>
      <c r="D35" s="14">
        <v>27.9</v>
      </c>
    </row>
    <row r="36" spans="2:5" x14ac:dyDescent="0.3">
      <c r="B36" t="s">
        <v>22</v>
      </c>
      <c r="C36" t="s">
        <v>15</v>
      </c>
      <c r="D36" s="14">
        <v>19.899999999999999</v>
      </c>
    </row>
    <row r="37" spans="2:5" x14ac:dyDescent="0.3">
      <c r="B37" t="s">
        <v>60</v>
      </c>
      <c r="C37" t="s">
        <v>15</v>
      </c>
      <c r="D37" s="9">
        <v>39.9</v>
      </c>
    </row>
    <row r="38" spans="2:5" x14ac:dyDescent="0.3">
      <c r="B38" t="s">
        <v>61</v>
      </c>
      <c r="C38" t="s">
        <v>42</v>
      </c>
      <c r="D38" s="9">
        <v>83.1</v>
      </c>
    </row>
    <row r="39" spans="2:5" x14ac:dyDescent="0.3">
      <c r="B39" t="s">
        <v>62</v>
      </c>
      <c r="C39" t="s">
        <v>42</v>
      </c>
      <c r="D39" s="9">
        <f>Tabela169[[#This Row],[Valor Anual]]/12</f>
        <v>8.25</v>
      </c>
      <c r="E39" s="9">
        <v>99</v>
      </c>
    </row>
    <row r="40" spans="2:5" x14ac:dyDescent="0.3">
      <c r="B40" t="s">
        <v>63</v>
      </c>
      <c r="C40" t="s">
        <v>14</v>
      </c>
      <c r="D40" s="9">
        <f>3*190</f>
        <v>570</v>
      </c>
    </row>
    <row r="41" spans="2:5" x14ac:dyDescent="0.3">
      <c r="B41" t="s">
        <v>64</v>
      </c>
      <c r="C41" t="s">
        <v>14</v>
      </c>
      <c r="D41" s="9">
        <f>Tabela169[[#This Row],[Valor Anual]]/12</f>
        <v>466.66666666666669</v>
      </c>
      <c r="E41" s="9">
        <f>2000*2+1600</f>
        <v>5600</v>
      </c>
    </row>
    <row r="42" spans="2:5" x14ac:dyDescent="0.3">
      <c r="B42" t="s">
        <v>5</v>
      </c>
      <c r="C42" t="s">
        <v>14</v>
      </c>
      <c r="D42" s="14">
        <f>E42/12</f>
        <v>373.9708333333333</v>
      </c>
      <c r="E42" s="9">
        <v>4487.6499999999996</v>
      </c>
    </row>
    <row r="43" spans="2:5" x14ac:dyDescent="0.3">
      <c r="B43" t="s">
        <v>18</v>
      </c>
      <c r="C43" t="s">
        <v>14</v>
      </c>
      <c r="D43" s="14">
        <f>E43/12</f>
        <v>229.38083333333336</v>
      </c>
      <c r="E43" s="9">
        <v>2752.57</v>
      </c>
    </row>
    <row r="44" spans="2:5" x14ac:dyDescent="0.3">
      <c r="B44" t="s">
        <v>9</v>
      </c>
      <c r="C44" t="s">
        <v>14</v>
      </c>
      <c r="D44" s="9">
        <v>70</v>
      </c>
    </row>
    <row r="45" spans="2:5" x14ac:dyDescent="0.3">
      <c r="B45" t="s">
        <v>47</v>
      </c>
      <c r="C45" t="s">
        <v>14</v>
      </c>
      <c r="D45" s="9">
        <v>100</v>
      </c>
    </row>
    <row r="46" spans="2:5" x14ac:dyDescent="0.3">
      <c r="B46" t="s">
        <v>13</v>
      </c>
      <c r="C46" t="s">
        <v>14</v>
      </c>
      <c r="D46" s="14">
        <v>50</v>
      </c>
    </row>
    <row r="47" spans="2:5" x14ac:dyDescent="0.3">
      <c r="B47" t="s">
        <v>6</v>
      </c>
      <c r="C47" t="s">
        <v>14</v>
      </c>
      <c r="D47" s="14">
        <v>24.2</v>
      </c>
    </row>
    <row r="48" spans="2:5" x14ac:dyDescent="0.3">
      <c r="B48" t="s">
        <v>40</v>
      </c>
      <c r="C48" t="s">
        <v>14</v>
      </c>
      <c r="D48" s="9">
        <f>Tabela169[[#This Row],[Valor Anual]]/12</f>
        <v>12.935833333333333</v>
      </c>
      <c r="E48" s="9">
        <v>155.22999999999999</v>
      </c>
    </row>
    <row r="49" spans="2:6" x14ac:dyDescent="0.3">
      <c r="B49" t="s">
        <v>7</v>
      </c>
      <c r="C49" t="s">
        <v>14</v>
      </c>
      <c r="D49" s="14">
        <f>E49/12</f>
        <v>12.5</v>
      </c>
      <c r="E49" s="9">
        <v>150</v>
      </c>
    </row>
    <row r="50" spans="2:6" x14ac:dyDescent="0.3">
      <c r="D50" s="2">
        <f>SUBTOTAL(109,Tabela169[Valor Mensal])</f>
        <v>11922.320833333331</v>
      </c>
      <c r="E50" s="2"/>
    </row>
    <row r="52" spans="2:6" x14ac:dyDescent="0.3">
      <c r="B52" s="3" t="s">
        <v>35</v>
      </c>
      <c r="C52" s="3"/>
      <c r="D52" s="12">
        <f>Tabela19[[#Totals],[Valor Mensal]]</f>
        <v>13000</v>
      </c>
    </row>
    <row r="53" spans="2:6" x14ac:dyDescent="0.3">
      <c r="B53" s="4" t="s">
        <v>36</v>
      </c>
      <c r="C53" s="4"/>
      <c r="D53" s="13">
        <f>Tabela169[[#Totals],[Valor Mensal]]</f>
        <v>11922.320833333331</v>
      </c>
    </row>
    <row r="54" spans="2:6" x14ac:dyDescent="0.3">
      <c r="B54" s="11" t="s">
        <v>34</v>
      </c>
      <c r="C54" s="11"/>
      <c r="D54" s="10">
        <f>D52-D53</f>
        <v>1077.6791666666686</v>
      </c>
    </row>
    <row r="56" spans="2:6" x14ac:dyDescent="0.3">
      <c r="D56"/>
    </row>
    <row r="57" spans="2:6" x14ac:dyDescent="0.3">
      <c r="D57"/>
    </row>
    <row r="58" spans="2:6" x14ac:dyDescent="0.3">
      <c r="D58"/>
      <c r="F58" s="8"/>
    </row>
    <row r="59" spans="2:6" x14ac:dyDescent="0.3">
      <c r="D59"/>
      <c r="F59" s="8"/>
    </row>
    <row r="60" spans="2:6" x14ac:dyDescent="0.3">
      <c r="D60"/>
    </row>
    <row r="61" spans="2:6" x14ac:dyDescent="0.3">
      <c r="D61"/>
    </row>
    <row r="62" spans="2:6" x14ac:dyDescent="0.3">
      <c r="D62"/>
    </row>
    <row r="63" spans="2:6" x14ac:dyDescent="0.3">
      <c r="D63"/>
    </row>
    <row r="64" spans="2:6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75A3-15B4-4673-94A5-A32A8D1553A9}">
  <dimension ref="A1:X145"/>
  <sheetViews>
    <sheetView tabSelected="1" zoomScaleNormal="100" workbookViewId="0">
      <pane xSplit="1" topLeftCell="B1" activePane="topRight" state="frozen"/>
      <selection pane="topRight" activeCell="B2" sqref="B2:B17"/>
    </sheetView>
  </sheetViews>
  <sheetFormatPr defaultRowHeight="14.4" x14ac:dyDescent="0.3"/>
  <cols>
    <col min="1" max="1" width="7.109375" bestFit="1" customWidth="1"/>
    <col min="2" max="2" width="17.88671875" bestFit="1" customWidth="1"/>
    <col min="3" max="3" width="18.6640625" bestFit="1" customWidth="1"/>
    <col min="4" max="4" width="26.33203125" bestFit="1" customWidth="1"/>
    <col min="5" max="5" width="17.5546875" bestFit="1" customWidth="1"/>
    <col min="6" max="6" width="24.88671875" bestFit="1" customWidth="1"/>
    <col min="7" max="7" width="24.21875" bestFit="1" customWidth="1"/>
    <col min="8" max="8" width="24.77734375" bestFit="1" customWidth="1"/>
    <col min="9" max="9" width="23.88671875" bestFit="1" customWidth="1"/>
    <col min="10" max="10" width="17.77734375" bestFit="1" customWidth="1"/>
    <col min="11" max="11" width="24.109375" customWidth="1"/>
    <col min="12" max="12" width="28.109375" bestFit="1" customWidth="1"/>
    <col min="13" max="13" width="16.6640625" bestFit="1" customWidth="1"/>
    <col min="14" max="14" width="17.44140625" bestFit="1" customWidth="1"/>
    <col min="15" max="15" width="22.44140625" customWidth="1"/>
    <col min="16" max="16" width="16.33203125" bestFit="1" customWidth="1"/>
    <col min="17" max="17" width="23.6640625" bestFit="1" customWidth="1"/>
    <col min="18" max="18" width="22.88671875" bestFit="1" customWidth="1"/>
    <col min="19" max="19" width="22.21875" bestFit="1" customWidth="1"/>
    <col min="20" max="22" width="22.21875" customWidth="1"/>
    <col min="23" max="23" width="19.6640625" bestFit="1" customWidth="1"/>
    <col min="24" max="24" width="26.77734375" bestFit="1" customWidth="1"/>
  </cols>
  <sheetData>
    <row r="1" spans="1:24" x14ac:dyDescent="0.3">
      <c r="A1" s="22" t="s">
        <v>10</v>
      </c>
      <c r="B1" t="s">
        <v>33</v>
      </c>
      <c r="C1" t="s">
        <v>32</v>
      </c>
      <c r="D1" t="s">
        <v>31</v>
      </c>
      <c r="E1" t="s">
        <v>23</v>
      </c>
      <c r="F1" t="s">
        <v>24</v>
      </c>
      <c r="G1" t="s">
        <v>25</v>
      </c>
      <c r="H1" t="s">
        <v>67</v>
      </c>
      <c r="I1" t="s">
        <v>66</v>
      </c>
      <c r="J1" t="s">
        <v>71</v>
      </c>
      <c r="K1" t="s">
        <v>75</v>
      </c>
      <c r="L1" t="s">
        <v>65</v>
      </c>
      <c r="M1" s="19" t="s">
        <v>30</v>
      </c>
      <c r="N1" s="19" t="s">
        <v>29</v>
      </c>
      <c r="O1" s="19" t="s">
        <v>28</v>
      </c>
      <c r="P1" s="19" t="s">
        <v>48</v>
      </c>
      <c r="Q1" s="19" t="s">
        <v>26</v>
      </c>
      <c r="R1" s="19" t="s">
        <v>27</v>
      </c>
      <c r="S1" s="19" t="s">
        <v>68</v>
      </c>
      <c r="T1" s="19" t="s">
        <v>78</v>
      </c>
      <c r="U1" s="19" t="s">
        <v>79</v>
      </c>
      <c r="V1" s="19" t="s">
        <v>80</v>
      </c>
      <c r="W1" s="19" t="s">
        <v>76</v>
      </c>
      <c r="X1" s="19" t="s">
        <v>77</v>
      </c>
    </row>
    <row r="2" spans="1:24" x14ac:dyDescent="0.3">
      <c r="A2" s="6">
        <v>44927</v>
      </c>
      <c r="B2" s="21">
        <v>13000</v>
      </c>
      <c r="C2" s="18">
        <v>13652.32</v>
      </c>
      <c r="D2" s="7">
        <f>IF(Tabela13[[#This Row],[Despesa Realizado]]="","",Tabela13[[#This Row],[Receita Realizado]]-Tabela13[[#This Row],[Despesa Realizado]])</f>
        <v>-652.31999999999971</v>
      </c>
      <c r="E2" s="17">
        <v>-700</v>
      </c>
      <c r="F2" s="15">
        <v>56.43</v>
      </c>
      <c r="G2" s="5">
        <f>IF(Tabela13[[#This Row],[Aporte Realizado]]="","",Tabela13[[#This Row],[Rendimento Realizado R$]]/(Tabela13[[#This Row],[Investimentos Realizado]]-(Tabela13[[#This Row],[Aporte Realizado]])))</f>
        <v>2.9186713244033612E-3</v>
      </c>
      <c r="H2" s="16">
        <v>67.430000000000007</v>
      </c>
      <c r="I2" s="17">
        <v>18634.14</v>
      </c>
      <c r="J2" s="17">
        <v>140654.23000000001</v>
      </c>
      <c r="K2" s="17">
        <f>40645.34+200000</f>
        <v>240645.34</v>
      </c>
      <c r="L2" s="8">
        <f>Tabela13[[#This Row],[Conta Corrente Realizado]]+Tabela13[[#This Row],[Investimentos Realizado]]-Tabela13[[#This Row],[Dívidas Realizado]]+Tabela13[[#This Row],[Outros Patrimônios (carros, lotes, casa etc) Realizado]]</f>
        <v>118692.68</v>
      </c>
      <c r="M2" s="17">
        <v>13000</v>
      </c>
      <c r="N2" s="17">
        <v>12000</v>
      </c>
      <c r="O2" s="8">
        <f>Tabela13[[#This Row],[Receita Previsto]]-Tabela13[[#This Row],[Despesa Previsto]]</f>
        <v>1000</v>
      </c>
      <c r="P2" s="8">
        <f>Tabela13[[#This Row],[Receita Previsto]]-Tabela13[[#This Row],[Despesa Previsto]]</f>
        <v>1000</v>
      </c>
      <c r="Q2" s="7">
        <f>Tabela13[[#This Row],[Rendimento Realizado R$]]</f>
        <v>56.43</v>
      </c>
      <c r="R2" s="5">
        <v>8.8999999999999999E-3</v>
      </c>
      <c r="S2" s="8">
        <f>Tabela13[[#This Row],[Investimentos Realizado]]</f>
        <v>18634.14</v>
      </c>
      <c r="T2" s="17">
        <f>Tabela13[[#This Row],[Dívidas Realizado]]</f>
        <v>140654.23000000001</v>
      </c>
      <c r="U2" s="17">
        <v>200000</v>
      </c>
      <c r="V2" s="17">
        <v>40000</v>
      </c>
      <c r="W2" s="1">
        <f>Tabela13[[#This Row],[Apto Previsto]]+Tabela13[[#This Row],[Carro Previsto]]</f>
        <v>240000</v>
      </c>
      <c r="X2" s="1">
        <f>Tabela13[[#This Row],[ Investimento Previsto]]-Tabela13[[#This Row],[Dívidas Previsto]]+Tabela13[[#This Row],[Outros Patrimônios]]</f>
        <v>117979.90999999999</v>
      </c>
    </row>
    <row r="3" spans="1:24" x14ac:dyDescent="0.3">
      <c r="A3" s="6">
        <v>44958</v>
      </c>
      <c r="B3" s="21">
        <v>13000</v>
      </c>
      <c r="C3" s="20">
        <f>IF(Tabela13[[#This Row],[Receita Realizado]]="",0,Tabela13[[#This Row],[Receita Realizado]]+H2-Tabela13[[#This Row],[Conta Corrente Realizado]]-Tabela13[[#This Row],[Aporte Realizado]])</f>
        <v>12163.89</v>
      </c>
      <c r="D3" s="7">
        <f>IF(Tabela13[[#This Row],[Despesa Realizado]]="","",Tabela13[[#This Row],[Receita Realizado]]-Tabela13[[#This Row],[Despesa Realizado]])</f>
        <v>836.11000000000058</v>
      </c>
      <c r="E3" s="15">
        <v>800</v>
      </c>
      <c r="F3" s="7">
        <f>IF(Tabela13[[#This Row],[Aporte Realizado]]="",0,Tabela13[[#This Row],[Investimentos Realizado]]-I2-Tabela13[[#This Row],[Aporte Realizado]])</f>
        <v>165.7599999999984</v>
      </c>
      <c r="G3" s="5">
        <f>IF(Tabela13[[#This Row],[Aporte Realizado]]="","",Tabela13[[#This Row],[Rendimento Realizado R$]]/(Tabela13[[#This Row],[Investimentos Realizado]]-(Tabela13[[#This Row],[Aporte Realizado]])))</f>
        <v>8.8170681758944682E-3</v>
      </c>
      <c r="H3" s="16">
        <v>103.54</v>
      </c>
      <c r="I3" s="17">
        <f>18634.14+165.76+800</f>
        <v>19599.899999999998</v>
      </c>
      <c r="J3" s="17">
        <v>140454.1</v>
      </c>
      <c r="K3" s="17">
        <f>40043.22+200600</f>
        <v>240643.22</v>
      </c>
      <c r="L3" s="8">
        <f>Tabela13[[#This Row],[Conta Corrente Realizado]]+Tabela13[[#This Row],[Investimentos Realizado]]-Tabela13[[#This Row],[Dívidas Realizado]]+Tabela13[[#This Row],[Outros Patrimônios (carros, lotes, casa etc) Realizado]]</f>
        <v>119892.56</v>
      </c>
      <c r="M3" s="17">
        <v>13000</v>
      </c>
      <c r="N3" s="17">
        <v>12000</v>
      </c>
      <c r="O3" s="8">
        <f>Tabela13[[#This Row],[Receita Previsto]]-Tabela13[[#This Row],[Despesa Previsto]]</f>
        <v>1000</v>
      </c>
      <c r="P3" s="8">
        <f>Tabela13[[#This Row],[Receita Previsto]]-Tabela13[[#This Row],[Despesa Previsto]]</f>
        <v>1000</v>
      </c>
      <c r="Q3" s="7">
        <f t="shared" ref="Q3:Q34" si="0">S2*R3</f>
        <v>165.84384599999998</v>
      </c>
      <c r="R3" s="5">
        <v>8.8999999999999999E-3</v>
      </c>
      <c r="S3" s="7">
        <f>S2+Q3+Tabela13[[#This Row],[Geração Caixa Previsto]]+Tabela13[[#This Row],[Aporte Previsto]]</f>
        <v>20799.983845999999</v>
      </c>
      <c r="T3" s="15">
        <f>T2*0.9977</f>
        <v>140330.725271</v>
      </c>
      <c r="U3" s="15">
        <f>(U2*1.0014)</f>
        <v>200280</v>
      </c>
      <c r="V3" s="15">
        <f>V2*0.9977</f>
        <v>39908</v>
      </c>
      <c r="W3" s="1">
        <f>Tabela13[[#This Row],[Apto Previsto]]+Tabela13[[#This Row],[Carro Previsto]]</f>
        <v>240188</v>
      </c>
      <c r="X3" s="1">
        <f>Tabela13[[#This Row],[ Investimento Previsto]]-Tabela13[[#This Row],[Dívidas Previsto]]+Tabela13[[#This Row],[Outros Patrimônios]]</f>
        <v>120657.258575</v>
      </c>
    </row>
    <row r="4" spans="1:24" x14ac:dyDescent="0.3">
      <c r="A4" s="6">
        <v>44986</v>
      </c>
      <c r="B4" s="21">
        <v>13500</v>
      </c>
      <c r="C4" s="20">
        <f>IF(Tabela13[[#This Row],[Receita Realizado]]="",0,Tabela13[[#This Row],[Receita Realizado]]+H3-Tabela13[[#This Row],[Conta Corrente Realizado]]-Tabela13[[#This Row],[Aporte Realizado]])</f>
        <v>12038.5</v>
      </c>
      <c r="D4" s="7">
        <f>IF(Tabela13[[#This Row],[Despesa Realizado]]="","",Tabela13[[#This Row],[Receita Realizado]]-Tabela13[[#This Row],[Despesa Realizado]])</f>
        <v>1461.5</v>
      </c>
      <c r="E4" s="15">
        <v>1000</v>
      </c>
      <c r="F4" s="7">
        <f>IF(Tabela13[[#This Row],[Aporte Realizado]]="",0,Tabela13[[#This Row],[Investimentos Realizado]]-I3-Tabela13[[#This Row],[Aporte Realizado]])</f>
        <v>178.45000000000437</v>
      </c>
      <c r="G4" s="5">
        <f>IF(Tabela13[[#This Row],[Aporte Realizado]]="","",Tabela13[[#This Row],[Rendimento Realizado R$]]/(Tabela13[[#This Row],[Investimentos Realizado]]-(Tabela13[[#This Row],[Aporte Realizado]])))</f>
        <v>9.0224917649856708E-3</v>
      </c>
      <c r="H4" s="16">
        <f>101.54+463.5</f>
        <v>565.04</v>
      </c>
      <c r="I4" s="17">
        <f>19599.9+178.45+Tabela13[[#This Row],[Aporte Realizado]]</f>
        <v>20778.350000000002</v>
      </c>
      <c r="J4" s="17">
        <v>140221.20000000001</v>
      </c>
      <c r="K4" s="17">
        <f>39850+201200</f>
        <v>241050</v>
      </c>
      <c r="L4" s="8">
        <f>Tabela13[[#This Row],[Conta Corrente Realizado]]+Tabela13[[#This Row],[Investimentos Realizado]]-Tabela13[[#This Row],[Dívidas Realizado]]+Tabela13[[#This Row],[Outros Patrimônios (carros, lotes, casa etc) Realizado]]</f>
        <v>122172.18999999999</v>
      </c>
      <c r="M4" s="17">
        <v>13000</v>
      </c>
      <c r="N4" s="17">
        <v>12000</v>
      </c>
      <c r="O4" s="8">
        <f>Tabela13[[#This Row],[Receita Previsto]]-Tabela13[[#This Row],[Despesa Previsto]]</f>
        <v>1000</v>
      </c>
      <c r="P4" s="8">
        <f>Tabela13[[#This Row],[Receita Previsto]]-Tabela13[[#This Row],[Despesa Previsto]]</f>
        <v>1000</v>
      </c>
      <c r="Q4" s="7">
        <f t="shared" si="0"/>
        <v>185.1198562294</v>
      </c>
      <c r="R4" s="5">
        <v>8.8999999999999999E-3</v>
      </c>
      <c r="S4" s="7">
        <f>S3+Q4+Tabela13[[#This Row],[Geração Caixa Previsto]]+Tabela13[[#This Row],[Aporte Previsto]]</f>
        <v>22985.1037022294</v>
      </c>
      <c r="T4" s="15">
        <f t="shared" ref="T4:T67" si="1">T3*0.9977</f>
        <v>140007.96460287672</v>
      </c>
      <c r="U4" s="15">
        <f>(U3*1.0014)</f>
        <v>200560.39200000002</v>
      </c>
      <c r="V4" s="15">
        <f t="shared" ref="V4:V67" si="2">V3*0.9977</f>
        <v>39816.211600000002</v>
      </c>
      <c r="W4" s="1">
        <f>Tabela13[[#This Row],[Apto Previsto]]+Tabela13[[#This Row],[Carro Previsto]]</f>
        <v>240376.60360000003</v>
      </c>
      <c r="X4" s="1">
        <f>Tabela13[[#This Row],[ Investimento Previsto]]-Tabela13[[#This Row],[Dívidas Previsto]]+Tabela13[[#This Row],[Outros Patrimônios]]</f>
        <v>123353.74269935272</v>
      </c>
    </row>
    <row r="5" spans="1:24" x14ac:dyDescent="0.3">
      <c r="A5" s="6">
        <v>45017</v>
      </c>
      <c r="B5" s="21">
        <v>13000</v>
      </c>
      <c r="C5" s="20">
        <f>IF(Tabela13[[#This Row],[Receita Realizado]]="",0,Tabela13[[#This Row],[Receita Realizado]]+H4-Tabela13[[#This Row],[Conta Corrente Realizado]]-Tabela13[[#This Row],[Aporte Realizado]])</f>
        <v>12596.53</v>
      </c>
      <c r="D5" s="7">
        <f>IF(Tabela13[[#This Row],[Despesa Realizado]]="","",Tabela13[[#This Row],[Receita Realizado]]-Tabela13[[#This Row],[Despesa Realizado]])</f>
        <v>403.46999999999935</v>
      </c>
      <c r="E5" s="15">
        <v>1000</v>
      </c>
      <c r="F5" s="7">
        <f>IF(Tabela13[[#This Row],[Aporte Realizado]]="",0,Tabela13[[#This Row],[Investimentos Realizado]]-I4-Tabela13[[#This Row],[Aporte Realizado]])</f>
        <v>198.44999999999709</v>
      </c>
      <c r="G5" s="5">
        <f>IF(Tabela13[[#This Row],[Aporte Realizado]]="","",Tabela13[[#This Row],[Rendimento Realizado R$]]/(Tabela13[[#This Row],[Investimentos Realizado]]-(Tabela13[[#This Row],[Aporte Realizado]])))</f>
        <v>9.4604515464702475E-3</v>
      </c>
      <c r="H5" s="16">
        <f>4.16+96.36-132.01</f>
        <v>-31.489999999999995</v>
      </c>
      <c r="I5" s="17">
        <f>20778.35+198.45+Tabela13[[#This Row],[Aporte Realizado]]</f>
        <v>21976.799999999999</v>
      </c>
      <c r="J5" s="17">
        <v>140114.34</v>
      </c>
      <c r="K5" s="17">
        <f>39500+201800</f>
        <v>241300</v>
      </c>
      <c r="L5" s="8">
        <f>Tabela13[[#This Row],[Conta Corrente Realizado]]+Tabela13[[#This Row],[Investimentos Realizado]]-Tabela13[[#This Row],[Dívidas Realizado]]+Tabela13[[#This Row],[Outros Patrimônios (carros, lotes, casa etc) Realizado]]</f>
        <v>123130.97</v>
      </c>
      <c r="M5" s="17">
        <v>13000</v>
      </c>
      <c r="N5" s="17">
        <v>12000</v>
      </c>
      <c r="O5" s="8">
        <f>Tabela13[[#This Row],[Receita Previsto]]-Tabela13[[#This Row],[Despesa Previsto]]</f>
        <v>1000</v>
      </c>
      <c r="P5" s="8">
        <f>Tabela13[[#This Row],[Receita Previsto]]-Tabela13[[#This Row],[Despesa Previsto]]</f>
        <v>1000</v>
      </c>
      <c r="Q5" s="7">
        <f t="shared" si="0"/>
        <v>204.56742294984167</v>
      </c>
      <c r="R5" s="5">
        <v>8.8999999999999999E-3</v>
      </c>
      <c r="S5" s="7">
        <f>S4+Q5+Tabela13[[#This Row],[Geração Caixa Previsto]]+Tabela13[[#This Row],[Aporte Previsto]]</f>
        <v>25189.67112517924</v>
      </c>
      <c r="T5" s="15">
        <f t="shared" si="1"/>
        <v>139685.94628429011</v>
      </c>
      <c r="U5" s="15">
        <f t="shared" ref="U5:U68" si="3">(U4*1.0014)</f>
        <v>200841.17654880002</v>
      </c>
      <c r="V5" s="15">
        <f t="shared" si="2"/>
        <v>39724.634313320006</v>
      </c>
      <c r="W5" s="1">
        <f>Tabela13[[#This Row],[Apto Previsto]]+Tabela13[[#This Row],[Carro Previsto]]</f>
        <v>240565.81086212004</v>
      </c>
      <c r="X5" s="1">
        <f>Tabela13[[#This Row],[ Investimento Previsto]]-Tabela13[[#This Row],[Dívidas Previsto]]+Tabela13[[#This Row],[Outros Patrimônios]]</f>
        <v>126069.53570300917</v>
      </c>
    </row>
    <row r="6" spans="1:24" x14ac:dyDescent="0.3">
      <c r="A6" s="6">
        <v>45047</v>
      </c>
      <c r="B6" s="21">
        <v>12000</v>
      </c>
      <c r="C6" s="20">
        <f>IF(Tabela13[[#This Row],[Receita Realizado]]="",0,Tabela13[[#This Row],[Receita Realizado]]+H5-Tabela13[[#This Row],[Conta Corrente Realizado]]-Tabela13[[#This Row],[Aporte Realizado]])</f>
        <v>10058.870000000001</v>
      </c>
      <c r="D6" s="7">
        <f>IF(Tabela13[[#This Row],[Despesa Realizado]]="","",Tabela13[[#This Row],[Receita Realizado]]-Tabela13[[#This Row],[Despesa Realizado]])</f>
        <v>1941.1299999999992</v>
      </c>
      <c r="E6" s="15">
        <v>1200</v>
      </c>
      <c r="F6" s="7">
        <f>IF(Tabela13[[#This Row],[Aporte Realizado]]="",0,Tabela13[[#This Row],[Investimentos Realizado]]-I5-Tabela13[[#This Row],[Aporte Realizado]])</f>
        <v>201.45000000000073</v>
      </c>
      <c r="G6" s="5">
        <f>IF(Tabela13[[#This Row],[Aporte Realizado]]="","",Tabela13[[#This Row],[Rendimento Realizado R$]]/(Tabela13[[#This Row],[Investimentos Realizado]]-(Tabela13[[#This Row],[Aporte Realizado]])))</f>
        <v>9.0832234283588983E-3</v>
      </c>
      <c r="H6" s="16">
        <f>358.71+304.94+45.99</f>
        <v>709.64</v>
      </c>
      <c r="I6" s="17">
        <f>21976.8+201.45+Tabela13[[#This Row],[Aporte Realizado]]</f>
        <v>23378.25</v>
      </c>
      <c r="J6" s="17">
        <v>139546.76</v>
      </c>
      <c r="K6" s="17">
        <f>39000+202410</f>
        <v>241410</v>
      </c>
      <c r="L6" s="8">
        <f>Tabela13[[#This Row],[Conta Corrente Realizado]]+Tabela13[[#This Row],[Investimentos Realizado]]-Tabela13[[#This Row],[Dívidas Realizado]]+Tabela13[[#This Row],[Outros Patrimônios (carros, lotes, casa etc) Realizado]]</f>
        <v>125951.12999999999</v>
      </c>
      <c r="M6" s="17">
        <v>13000</v>
      </c>
      <c r="N6" s="17">
        <v>12000</v>
      </c>
      <c r="O6" s="8">
        <f>Tabela13[[#This Row],[Receita Previsto]]-Tabela13[[#This Row],[Despesa Previsto]]</f>
        <v>1000</v>
      </c>
      <c r="P6" s="8">
        <f>Tabela13[[#This Row],[Receita Previsto]]-Tabela13[[#This Row],[Despesa Previsto]]</f>
        <v>1000</v>
      </c>
      <c r="Q6" s="7">
        <f t="shared" si="0"/>
        <v>224.18807301409524</v>
      </c>
      <c r="R6" s="5">
        <v>8.8999999999999999E-3</v>
      </c>
      <c r="S6" s="7">
        <f>S5+Q6+Tabela13[[#This Row],[Geração Caixa Previsto]]+Tabela13[[#This Row],[Aporte Previsto]]</f>
        <v>27413.859198193335</v>
      </c>
      <c r="T6" s="15">
        <f t="shared" si="1"/>
        <v>139364.66860783624</v>
      </c>
      <c r="U6" s="15">
        <f t="shared" si="3"/>
        <v>201122.35419596836</v>
      </c>
      <c r="V6" s="15">
        <f t="shared" si="2"/>
        <v>39633.267654399373</v>
      </c>
      <c r="W6" s="1">
        <f>Tabela13[[#This Row],[Apto Previsto]]+Tabela13[[#This Row],[Carro Previsto]]</f>
        <v>240755.62185036775</v>
      </c>
      <c r="X6" s="1">
        <f>Tabela13[[#This Row],[ Investimento Previsto]]-Tabela13[[#This Row],[Dívidas Previsto]]+Tabela13[[#This Row],[Outros Patrimônios]]</f>
        <v>128804.81244072484</v>
      </c>
    </row>
    <row r="7" spans="1:24" x14ac:dyDescent="0.3">
      <c r="A7" s="6">
        <v>45078</v>
      </c>
      <c r="B7" s="21">
        <v>14000</v>
      </c>
      <c r="C7" s="20">
        <f>IF(Tabela13[[#This Row],[Receita Realizado]]="",0,Tabela13[[#This Row],[Receita Realizado]]+H6-Tabela13[[#This Row],[Conta Corrente Realizado]]-Tabela13[[#This Row],[Aporte Realizado]])</f>
        <v>13691.92</v>
      </c>
      <c r="D7" s="7">
        <f>IF(Tabela13[[#This Row],[Despesa Realizado]]="","",Tabela13[[#This Row],[Receita Realizado]]-Tabela13[[#This Row],[Despesa Realizado]])</f>
        <v>308.07999999999993</v>
      </c>
      <c r="E7" s="15">
        <v>500</v>
      </c>
      <c r="F7" s="7">
        <f>IF(Tabela13[[#This Row],[Aporte Realizado]]="",0,Tabela13[[#This Row],[Investimentos Realizado]]-I6-Tabela13[[#This Row],[Aporte Realizado]])</f>
        <v>221.34000000000015</v>
      </c>
      <c r="G7" s="5">
        <f>IF(Tabela13[[#This Row],[Aporte Realizado]]="","",Tabela13[[#This Row],[Rendimento Realizado R$]]/(Tabela13[[#This Row],[Investimentos Realizado]]-(Tabela13[[#This Row],[Aporte Realizado]])))</f>
        <v>9.3789764991679993E-3</v>
      </c>
      <c r="H7" s="16">
        <f>-57.78-283.42+858.92</f>
        <v>517.71999999999991</v>
      </c>
      <c r="I7" s="17">
        <f>23378.25+221.34+Tabela13[[#This Row],[Aporte Realizado]]</f>
        <v>24099.59</v>
      </c>
      <c r="J7" s="17">
        <v>139345.60000000001</v>
      </c>
      <c r="K7" s="17">
        <f>38800+203000</f>
        <v>241800</v>
      </c>
      <c r="L7" s="8">
        <f>Tabela13[[#This Row],[Conta Corrente Realizado]]+Tabela13[[#This Row],[Investimentos Realizado]]-Tabela13[[#This Row],[Dívidas Realizado]]+Tabela13[[#This Row],[Outros Patrimônios (carros, lotes, casa etc) Realizado]]</f>
        <v>127071.70999999999</v>
      </c>
      <c r="M7" s="17">
        <v>13000</v>
      </c>
      <c r="N7" s="17">
        <v>12000</v>
      </c>
      <c r="O7" s="8">
        <f>Tabela13[[#This Row],[Receita Previsto]]-Tabela13[[#This Row],[Despesa Previsto]]</f>
        <v>1000</v>
      </c>
      <c r="P7" s="8">
        <f>Tabela13[[#This Row],[Receita Previsto]]-Tabela13[[#This Row],[Despesa Previsto]]</f>
        <v>1000</v>
      </c>
      <c r="Q7" s="7">
        <f t="shared" si="0"/>
        <v>243.98334686392067</v>
      </c>
      <c r="R7" s="5">
        <v>8.8999999999999999E-3</v>
      </c>
      <c r="S7" s="7">
        <f>S6+Q7+Tabela13[[#This Row],[Geração Caixa Previsto]]+Tabela13[[#This Row],[Aporte Previsto]]</f>
        <v>29657.842545057254</v>
      </c>
      <c r="T7" s="15">
        <f t="shared" si="1"/>
        <v>139044.12987003822</v>
      </c>
      <c r="U7" s="15">
        <f t="shared" si="3"/>
        <v>201403.92549184273</v>
      </c>
      <c r="V7" s="15">
        <f t="shared" si="2"/>
        <v>39542.111138794258</v>
      </c>
      <c r="W7" s="1">
        <f>Tabela13[[#This Row],[Apto Previsto]]+Tabela13[[#This Row],[Carro Previsto]]</f>
        <v>240946.03663063698</v>
      </c>
      <c r="X7" s="1">
        <f>Tabela13[[#This Row],[ Investimento Previsto]]-Tabela13[[#This Row],[Dívidas Previsto]]+Tabela13[[#This Row],[Outros Patrimônios]]</f>
        <v>131559.74930565601</v>
      </c>
    </row>
    <row r="8" spans="1:24" x14ac:dyDescent="0.3">
      <c r="A8" s="6">
        <v>45108</v>
      </c>
      <c r="B8" s="21">
        <v>13500</v>
      </c>
      <c r="C8" s="20">
        <f>IF(Tabela13[[#This Row],[Receita Realizado]]="",0,Tabela13[[#This Row],[Receita Realizado]]+H7-Tabela13[[#This Row],[Conta Corrente Realizado]]-Tabela13[[#This Row],[Aporte Realizado]])</f>
        <v>12105.449999999999</v>
      </c>
      <c r="D8" s="7">
        <f>IF(Tabela13[[#This Row],[Despesa Realizado]]="","",Tabela13[[#This Row],[Receita Realizado]]-Tabela13[[#This Row],[Despesa Realizado]])</f>
        <v>1394.5500000000011</v>
      </c>
      <c r="E8" s="15">
        <v>800</v>
      </c>
      <c r="F8" s="7">
        <f>IF(Tabela13[[#This Row],[Aporte Realizado]]="",0,Tabela13[[#This Row],[Investimentos Realizado]]-I7-Tabela13[[#This Row],[Aporte Realizado]])</f>
        <v>123.45000000000073</v>
      </c>
      <c r="G8" s="5">
        <f>IF(Tabela13[[#This Row],[Aporte Realizado]]="","",Tabela13[[#This Row],[Rendimento Realizado R$]]/(Tabela13[[#This Row],[Investimentos Realizado]]-(Tabela13[[#This Row],[Aporte Realizado]])))</f>
        <v>5.0963875715022032E-3</v>
      </c>
      <c r="H8" s="16">
        <f>208.99+146.36+292.76+464.16</f>
        <v>1112.27</v>
      </c>
      <c r="I8" s="17">
        <f>24099.59+123.45+Tabela13[[#This Row],[Aporte Realizado]]</f>
        <v>25023.040000000001</v>
      </c>
      <c r="J8" s="17">
        <v>139122.1</v>
      </c>
      <c r="K8" s="17">
        <f>38000+203600</f>
        <v>241600</v>
      </c>
      <c r="L8" s="8">
        <f>Tabela13[[#This Row],[Conta Corrente Realizado]]+Tabela13[[#This Row],[Investimentos Realizado]]-Tabela13[[#This Row],[Dívidas Realizado]]+Tabela13[[#This Row],[Outros Patrimônios (carros, lotes, casa etc) Realizado]]</f>
        <v>128613.20999999999</v>
      </c>
      <c r="M8" s="17">
        <v>13000</v>
      </c>
      <c r="N8" s="17">
        <v>12000</v>
      </c>
      <c r="O8" s="8">
        <f>Tabela13[[#This Row],[Receita Previsto]]-Tabela13[[#This Row],[Despesa Previsto]]</f>
        <v>1000</v>
      </c>
      <c r="P8" s="8">
        <f>Tabela13[[#This Row],[Receita Previsto]]-Tabela13[[#This Row],[Despesa Previsto]]</f>
        <v>1000</v>
      </c>
      <c r="Q8" s="7">
        <f t="shared" si="0"/>
        <v>263.95479865100958</v>
      </c>
      <c r="R8" s="5">
        <v>8.8999999999999999E-3</v>
      </c>
      <c r="S8" s="7">
        <f>S7+Q8+Tabela13[[#This Row],[Geração Caixa Previsto]]+Tabela13[[#This Row],[Aporte Previsto]]</f>
        <v>31921.797343708262</v>
      </c>
      <c r="T8" s="15">
        <f t="shared" si="1"/>
        <v>138724.32837133712</v>
      </c>
      <c r="U8" s="15">
        <f t="shared" si="3"/>
        <v>201685.89098753134</v>
      </c>
      <c r="V8" s="15">
        <f t="shared" si="2"/>
        <v>39451.164283175036</v>
      </c>
      <c r="W8" s="1">
        <f>Tabela13[[#This Row],[Apto Previsto]]+Tabela13[[#This Row],[Carro Previsto]]</f>
        <v>241137.05527070636</v>
      </c>
      <c r="X8" s="1">
        <f>Tabela13[[#This Row],[ Investimento Previsto]]-Tabela13[[#This Row],[Dívidas Previsto]]+Tabela13[[#This Row],[Outros Patrimônios]]</f>
        <v>134334.5242430775</v>
      </c>
    </row>
    <row r="9" spans="1:24" x14ac:dyDescent="0.3">
      <c r="A9" s="6">
        <v>45139</v>
      </c>
      <c r="B9" s="21">
        <v>13000</v>
      </c>
      <c r="C9" s="20">
        <f>IF(Tabela13[[#This Row],[Receita Realizado]]="",0,Tabela13[[#This Row],[Receita Realizado]]+H8-Tabela13[[#This Row],[Conta Corrente Realizado]]-Tabela13[[#This Row],[Aporte Realizado]])</f>
        <v>14434.79</v>
      </c>
      <c r="D9" s="7">
        <f>IF(Tabela13[[#This Row],[Despesa Realizado]]="","",Tabela13[[#This Row],[Receita Realizado]]-Tabela13[[#This Row],[Despesa Realizado]])</f>
        <v>-1434.7900000000009</v>
      </c>
      <c r="E9" s="15">
        <v>-500</v>
      </c>
      <c r="F9" s="7">
        <f>IF(Tabela13[[#This Row],[Aporte Realizado]]="",0,Tabela13[[#This Row],[Investimentos Realizado]]-I8-Tabela13[[#This Row],[Aporte Realizado]])</f>
        <v>223.45000000000073</v>
      </c>
      <c r="G9" s="5">
        <f>IF(Tabela13[[#This Row],[Aporte Realizado]]="","",Tabela13[[#This Row],[Rendimento Realizado R$]]/(Tabela13[[#This Row],[Investimentos Realizado]]-(Tabela13[[#This Row],[Aporte Realizado]])))</f>
        <v>8.8507352903314761E-3</v>
      </c>
      <c r="H9" s="16">
        <f>30.41+2+10.61+129.5+4.96</f>
        <v>177.48</v>
      </c>
      <c r="I9" s="17">
        <f>25023.04+223.45+Tabela13[[#This Row],[Aporte Realizado]]</f>
        <v>24746.49</v>
      </c>
      <c r="J9" s="17">
        <v>138255.70000000001</v>
      </c>
      <c r="K9" s="17">
        <f>37900+204000</f>
        <v>241900</v>
      </c>
      <c r="L9" s="8">
        <f>Tabela13[[#This Row],[Conta Corrente Realizado]]+Tabela13[[#This Row],[Investimentos Realizado]]-Tabela13[[#This Row],[Dívidas Realizado]]+Tabela13[[#This Row],[Outros Patrimônios (carros, lotes, casa etc) Realizado]]</f>
        <v>128568.26999999999</v>
      </c>
      <c r="M9" s="17">
        <v>13000</v>
      </c>
      <c r="N9" s="17">
        <v>12000</v>
      </c>
      <c r="O9" s="8">
        <f>Tabela13[[#This Row],[Receita Previsto]]-Tabela13[[#This Row],[Despesa Previsto]]</f>
        <v>1000</v>
      </c>
      <c r="P9" s="8">
        <f>Tabela13[[#This Row],[Receita Previsto]]-Tabela13[[#This Row],[Despesa Previsto]]</f>
        <v>1000</v>
      </c>
      <c r="Q9" s="7">
        <f t="shared" si="0"/>
        <v>284.10399635900353</v>
      </c>
      <c r="R9" s="5">
        <v>8.8999999999999999E-3</v>
      </c>
      <c r="S9" s="7">
        <f>S8+Q9+Tabela13[[#This Row],[Geração Caixa Previsto]]+Tabela13[[#This Row],[Aporte Previsto]]</f>
        <v>34205.90134006727</v>
      </c>
      <c r="T9" s="15">
        <f t="shared" si="1"/>
        <v>138405.26241608305</v>
      </c>
      <c r="U9" s="15">
        <f t="shared" si="3"/>
        <v>201968.25123491389</v>
      </c>
      <c r="V9" s="15">
        <f t="shared" si="2"/>
        <v>39360.426605323737</v>
      </c>
      <c r="W9" s="1">
        <f>Tabela13[[#This Row],[Apto Previsto]]+Tabela13[[#This Row],[Carro Previsto]]</f>
        <v>241328.67784023762</v>
      </c>
      <c r="X9" s="1">
        <f>Tabela13[[#This Row],[ Investimento Previsto]]-Tabela13[[#This Row],[Dívidas Previsto]]+Tabela13[[#This Row],[Outros Patrimônios]]</f>
        <v>137129.31676422185</v>
      </c>
    </row>
    <row r="10" spans="1:24" x14ac:dyDescent="0.3">
      <c r="A10" s="6">
        <v>45170</v>
      </c>
      <c r="B10" s="21">
        <v>13000</v>
      </c>
      <c r="C10" s="20">
        <f>IF(Tabela13[[#This Row],[Receita Realizado]]="",0,Tabela13[[#This Row],[Receita Realizado]]+H9-Tabela13[[#This Row],[Conta Corrente Realizado]]-Tabela13[[#This Row],[Aporte Realizado]])</f>
        <v>10691.68</v>
      </c>
      <c r="D10" s="7">
        <f>IF(Tabela13[[#This Row],[Despesa Realizado]]="","",Tabela13[[#This Row],[Receita Realizado]]-Tabela13[[#This Row],[Despesa Realizado]])</f>
        <v>2308.3199999999997</v>
      </c>
      <c r="E10" s="15">
        <v>1000</v>
      </c>
      <c r="F10" s="7">
        <f>IF(Tabela13[[#This Row],[Aporte Realizado]]="",0,Tabela13[[#This Row],[Investimentos Realizado]]-I9-Tabela13[[#This Row],[Aporte Realizado]])</f>
        <v>276.54999999999927</v>
      </c>
      <c r="G10" s="5">
        <f>IF(Tabela13[[#This Row],[Aporte Realizado]]="","",Tabela13[[#This Row],[Rendimento Realizado R$]]/(Tabela13[[#This Row],[Investimentos Realizado]]-(Tabela13[[#This Row],[Aporte Realizado]])))</f>
        <v>1.1051814647620723E-2</v>
      </c>
      <c r="H10" s="16">
        <f>297.68+293.53+845.13+2.27+47.19</f>
        <v>1485.8000000000002</v>
      </c>
      <c r="I10" s="17">
        <f>25023.04+Tabela13[[#This Row],[Aporte Realizado]]</f>
        <v>26023.040000000001</v>
      </c>
      <c r="J10" s="17">
        <v>137982.6</v>
      </c>
      <c r="K10" s="17">
        <f>37500+204800</f>
        <v>242300</v>
      </c>
      <c r="L10" s="8">
        <f>Tabela13[[#This Row],[Conta Corrente Realizado]]+Tabela13[[#This Row],[Investimentos Realizado]]-Tabela13[[#This Row],[Dívidas Realizado]]+Tabela13[[#This Row],[Outros Patrimônios (carros, lotes, casa etc) Realizado]]</f>
        <v>131826.23999999999</v>
      </c>
      <c r="M10" s="17">
        <v>13000</v>
      </c>
      <c r="N10" s="17">
        <v>12000</v>
      </c>
      <c r="O10" s="8">
        <f>Tabela13[[#This Row],[Receita Previsto]]-Tabela13[[#This Row],[Despesa Previsto]]</f>
        <v>1000</v>
      </c>
      <c r="P10" s="8">
        <f>Tabela13[[#This Row],[Receita Previsto]]-Tabela13[[#This Row],[Despesa Previsto]]</f>
        <v>1000</v>
      </c>
      <c r="Q10" s="7">
        <f t="shared" si="0"/>
        <v>304.43252192659872</v>
      </c>
      <c r="R10" s="5">
        <v>8.8999999999999999E-3</v>
      </c>
      <c r="S10" s="7">
        <f>S9+Q10+Tabela13[[#This Row],[Geração Caixa Previsto]]+Tabela13[[#This Row],[Aporte Previsto]]</f>
        <v>36510.333861993866</v>
      </c>
      <c r="T10" s="15">
        <f t="shared" si="1"/>
        <v>138086.93031252606</v>
      </c>
      <c r="U10" s="15">
        <f t="shared" si="3"/>
        <v>202251.00678664277</v>
      </c>
      <c r="V10" s="15">
        <f t="shared" si="2"/>
        <v>39269.897624131496</v>
      </c>
      <c r="W10" s="1">
        <f>Tabela13[[#This Row],[Apto Previsto]]+Tabela13[[#This Row],[Carro Previsto]]</f>
        <v>241520.90441077427</v>
      </c>
      <c r="X10" s="1">
        <f>Tabela13[[#This Row],[ Investimento Previsto]]-Tabela13[[#This Row],[Dívidas Previsto]]+Tabela13[[#This Row],[Outros Patrimônios]]</f>
        <v>139944.30796024206</v>
      </c>
    </row>
    <row r="11" spans="1:24" x14ac:dyDescent="0.3">
      <c r="A11" s="6">
        <v>45200</v>
      </c>
      <c r="B11" s="21">
        <v>13000</v>
      </c>
      <c r="C11" s="20">
        <f>IF(Tabela13[[#This Row],[Receita Realizado]]="",0,Tabela13[[#This Row],[Receita Realizado]]+H10-Tabela13[[#This Row],[Conta Corrente Realizado]]-Tabela13[[#This Row],[Aporte Realizado]])</f>
        <v>12252.759999999998</v>
      </c>
      <c r="D11" s="7">
        <f>IF(Tabela13[[#This Row],[Despesa Realizado]]="","",Tabela13[[#This Row],[Receita Realizado]]-Tabela13[[#This Row],[Despesa Realizado]])</f>
        <v>747.2400000000016</v>
      </c>
      <c r="E11" s="15">
        <v>900</v>
      </c>
      <c r="F11" s="7">
        <f>IF(Tabela13[[#This Row],[Aporte Realizado]]="",0,Tabela13[[#This Row],[Investimentos Realizado]]-I10-Tabela13[[#This Row],[Aporte Realizado]])</f>
        <v>234.54000000000087</v>
      </c>
      <c r="G11" s="5">
        <f>IF(Tabela13[[#This Row],[Aporte Realizado]]="","",Tabela13[[#This Row],[Rendimento Realizado R$]]/(Tabela13[[#This Row],[Investimentos Realizado]]-(Tabela13[[#This Row],[Aporte Realizado]])))</f>
        <v>8.9322778412938616E-3</v>
      </c>
      <c r="H11" s="16">
        <f>89.9+600.8+550.87+91.47</f>
        <v>1333.04</v>
      </c>
      <c r="I11" s="17">
        <f>26023.04+234.54+Tabela13[[#This Row],[Aporte Realizado]]</f>
        <v>27157.58</v>
      </c>
      <c r="J11" s="17">
        <v>137121.29999999999</v>
      </c>
      <c r="K11" s="17">
        <f>37000+205350</f>
        <v>242350</v>
      </c>
      <c r="L11" s="8">
        <f>Tabela13[[#This Row],[Conta Corrente Realizado]]+Tabela13[[#This Row],[Investimentos Realizado]]-Tabela13[[#This Row],[Dívidas Realizado]]+Tabela13[[#This Row],[Outros Patrimônios (carros, lotes, casa etc) Realizado]]</f>
        <v>133719.32</v>
      </c>
      <c r="M11" s="17">
        <v>13000</v>
      </c>
      <c r="N11" s="17">
        <v>12000</v>
      </c>
      <c r="O11" s="8">
        <f>Tabela13[[#This Row],[Receita Previsto]]-Tabela13[[#This Row],[Despesa Previsto]]</f>
        <v>1000</v>
      </c>
      <c r="P11" s="8">
        <f>Tabela13[[#This Row],[Receita Previsto]]-Tabela13[[#This Row],[Despesa Previsto]]</f>
        <v>1000</v>
      </c>
      <c r="Q11" s="7">
        <f t="shared" si="0"/>
        <v>324.94197137174541</v>
      </c>
      <c r="R11" s="5">
        <v>8.8999999999999999E-3</v>
      </c>
      <c r="S11" s="7">
        <f>S10+Q11+Tabela13[[#This Row],[Geração Caixa Previsto]]+Tabela13[[#This Row],[Aporte Previsto]]</f>
        <v>38835.275833365609</v>
      </c>
      <c r="T11" s="15">
        <f t="shared" si="1"/>
        <v>137769.33037280725</v>
      </c>
      <c r="U11" s="15">
        <f t="shared" si="3"/>
        <v>202534.1581961441</v>
      </c>
      <c r="V11" s="15">
        <f t="shared" si="2"/>
        <v>39179.576859595996</v>
      </c>
      <c r="W11" s="1">
        <f>Tabela13[[#This Row],[Apto Previsto]]+Tabela13[[#This Row],[Carro Previsto]]</f>
        <v>241713.73505574011</v>
      </c>
      <c r="X11" s="1">
        <f>Tabela13[[#This Row],[ Investimento Previsto]]-Tabela13[[#This Row],[Dívidas Previsto]]+Tabela13[[#This Row],[Outros Patrimônios]]</f>
        <v>142779.68051629845</v>
      </c>
    </row>
    <row r="12" spans="1:24" x14ac:dyDescent="0.3">
      <c r="A12" s="6">
        <v>45231</v>
      </c>
      <c r="B12" s="21">
        <f>8000+4000+1200</f>
        <v>13200</v>
      </c>
      <c r="C12" s="20">
        <f>IF(Tabela13[[#This Row],[Receita Realizado]]="",0,Tabela13[[#This Row],[Receita Realizado]]+H11-Tabela13[[#This Row],[Conta Corrente Realizado]]-Tabela13[[#This Row],[Aporte Realizado]])</f>
        <v>12282.810000000001</v>
      </c>
      <c r="D12" s="7">
        <f>IF(Tabela13[[#This Row],[Despesa Realizado]]="","",Tabela13[[#This Row],[Receita Realizado]]-Tabela13[[#This Row],[Despesa Realizado]])</f>
        <v>917.18999999999869</v>
      </c>
      <c r="E12" s="15">
        <v>860</v>
      </c>
      <c r="F12" s="7">
        <f>IF(Tabela13[[#This Row],[Aporte Realizado]]="",0,Tabela13[[#This Row],[Investimentos Realizado]]-I11-Tabela13[[#This Row],[Aporte Realizado]])</f>
        <v>338.98999999999796</v>
      </c>
      <c r="G12" s="5">
        <f>IF(Tabela13[[#This Row],[Aporte Realizado]]="","",Tabela13[[#This Row],[Rendimento Realizado R$]]/(Tabela13[[#This Row],[Investimentos Realizado]]-(Tabela13[[#This Row],[Aporte Realizado]])))</f>
        <v>1.2328446784453405E-2</v>
      </c>
      <c r="H12" s="16">
        <f>850.23+540</f>
        <v>1390.23</v>
      </c>
      <c r="I12" s="17">
        <f>18000+5500.34+3456.23+1400</f>
        <v>28356.57</v>
      </c>
      <c r="J12" s="17">
        <v>136895.34</v>
      </c>
      <c r="K12" s="17">
        <f>36950+206000</f>
        <v>242950</v>
      </c>
      <c r="L12" s="8">
        <f>Tabela13[[#This Row],[Conta Corrente Realizado]]+Tabela13[[#This Row],[Investimentos Realizado]]-Tabela13[[#This Row],[Dívidas Realizado]]+Tabela13[[#This Row],[Outros Patrimônios (carros, lotes, casa etc) Realizado]]</f>
        <v>135801.46000000002</v>
      </c>
      <c r="M12" s="17">
        <v>13000</v>
      </c>
      <c r="N12" s="17">
        <v>12000</v>
      </c>
      <c r="O12" s="8">
        <f>Tabela13[[#This Row],[Receita Previsto]]-Tabela13[[#This Row],[Despesa Previsto]]</f>
        <v>1000</v>
      </c>
      <c r="P12" s="8">
        <f>Tabela13[[#This Row],[Receita Previsto]]-Tabela13[[#This Row],[Despesa Previsto]]</f>
        <v>1000</v>
      </c>
      <c r="Q12" s="7">
        <f t="shared" si="0"/>
        <v>345.63395491695394</v>
      </c>
      <c r="R12" s="5">
        <v>8.8999999999999999E-3</v>
      </c>
      <c r="S12" s="7">
        <f>S11+Q12+Tabela13[[#This Row],[Geração Caixa Previsto]]+Tabela13[[#This Row],[Aporte Previsto]]</f>
        <v>41180.909788282566</v>
      </c>
      <c r="T12" s="15">
        <f t="shared" si="1"/>
        <v>137452.46091294978</v>
      </c>
      <c r="U12" s="15">
        <f t="shared" si="3"/>
        <v>202817.70601761871</v>
      </c>
      <c r="V12" s="15">
        <f t="shared" si="2"/>
        <v>39089.463832818925</v>
      </c>
      <c r="W12" s="1">
        <f>Tabela13[[#This Row],[Apto Previsto]]+Tabela13[[#This Row],[Carro Previsto]]</f>
        <v>241907.16985043764</v>
      </c>
      <c r="X12" s="1">
        <f>Tabela13[[#This Row],[ Investimento Previsto]]-Tabela13[[#This Row],[Dívidas Previsto]]+Tabela13[[#This Row],[Outros Patrimônios]]</f>
        <v>145635.61872577042</v>
      </c>
    </row>
    <row r="13" spans="1:24" x14ac:dyDescent="0.3">
      <c r="A13" s="6">
        <v>45261</v>
      </c>
      <c r="B13" s="21"/>
      <c r="C13" s="20"/>
      <c r="D13" s="7" t="str">
        <f>IF(Tabela13[[#This Row],[Despesa Realizado]]="","",Tabela13[[#This Row],[Receita Realizado]]-Tabela13[[#This Row],[Despesa Realizado]])</f>
        <v/>
      </c>
      <c r="E13" s="15"/>
      <c r="F13" s="7">
        <f>IF(Tabela13[[#This Row],[Aporte Realizado]]="",0,Tabela13[[#This Row],[Investimentos Realizado]]-I12-Tabela13[[#This Row],[Aporte Realizado]])</f>
        <v>0</v>
      </c>
      <c r="G13" s="5" t="str">
        <f>IF(Tabela13[[#This Row],[Aporte Realizado]]="","",Tabela13[[#This Row],[Rendimento Realizado R$]]/(Tabela13[[#This Row],[Investimentos Realizado]]-(Tabela13[[#This Row],[Aporte Realizado]])))</f>
        <v/>
      </c>
      <c r="H13" s="16"/>
      <c r="I13" s="17"/>
      <c r="J13" s="17"/>
      <c r="K13" s="17"/>
      <c r="L1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" s="17">
        <v>13000</v>
      </c>
      <c r="N13" s="17">
        <v>12000</v>
      </c>
      <c r="O13" s="8">
        <f>Tabela13[[#This Row],[Receita Previsto]]-Tabela13[[#This Row],[Despesa Previsto]]</f>
        <v>1000</v>
      </c>
      <c r="P13" s="8">
        <f>Tabela13[[#This Row],[Receita Previsto]]-Tabela13[[#This Row],[Despesa Previsto]]</f>
        <v>1000</v>
      </c>
      <c r="Q13" s="7">
        <f t="shared" si="0"/>
        <v>366.51009711571481</v>
      </c>
      <c r="R13" s="5">
        <v>8.8999999999999999E-3</v>
      </c>
      <c r="S13" s="7">
        <f>S12+Q13+Tabela13[[#This Row],[Geração Caixa Previsto]]+Tabela13[[#This Row],[Aporte Previsto]]</f>
        <v>43547.419885398282</v>
      </c>
      <c r="T13" s="15">
        <f t="shared" si="1"/>
        <v>137136.32025285001</v>
      </c>
      <c r="U13" s="15">
        <f t="shared" si="3"/>
        <v>203101.65080604338</v>
      </c>
      <c r="V13" s="15">
        <f t="shared" si="2"/>
        <v>38999.558066003439</v>
      </c>
      <c r="W13" s="1">
        <f>Tabela13[[#This Row],[Apto Previsto]]+Tabela13[[#This Row],[Carro Previsto]]</f>
        <v>242101.20887204682</v>
      </c>
      <c r="X13" s="1">
        <f>Tabela13[[#This Row],[ Investimento Previsto]]-Tabela13[[#This Row],[Dívidas Previsto]]+Tabela13[[#This Row],[Outros Patrimônios]]</f>
        <v>148512.30850459507</v>
      </c>
    </row>
    <row r="14" spans="1:24" x14ac:dyDescent="0.3">
      <c r="A14" s="6">
        <v>45292</v>
      </c>
      <c r="B14" s="21"/>
      <c r="C14" s="20"/>
      <c r="D14" s="7" t="str">
        <f>IF(Tabela13[[#This Row],[Despesa Realizado]]="","",Tabela13[[#This Row],[Receita Realizado]]-Tabela13[[#This Row],[Despesa Realizado]])</f>
        <v/>
      </c>
      <c r="E14" s="15"/>
      <c r="F14" s="7">
        <f>IF(Tabela13[[#This Row],[Aporte Realizado]]="",0,Tabela13[[#This Row],[Investimentos Realizado]]-I13-Tabela13[[#This Row],[Aporte Realizado]])</f>
        <v>0</v>
      </c>
      <c r="G14" s="5" t="str">
        <f>IF(Tabela13[[#This Row],[Aporte Realizado]]="","",Tabela13[[#This Row],[Rendimento Realizado R$]]/(Tabela13[[#This Row],[Investimentos Realizado]]-(Tabela13[[#This Row],[Aporte Realizado]])))</f>
        <v/>
      </c>
      <c r="H14" s="16"/>
      <c r="I14" s="17"/>
      <c r="J14" s="17"/>
      <c r="K14" s="17"/>
      <c r="L1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" s="17">
        <v>15600</v>
      </c>
      <c r="N14" s="17">
        <v>13800</v>
      </c>
      <c r="O14" s="8">
        <f>Tabela13[[#This Row],[Receita Previsto]]-Tabela13[[#This Row],[Despesa Previsto]]</f>
        <v>1800</v>
      </c>
      <c r="P14" s="8">
        <f>Tabela13[[#This Row],[Receita Previsto]]-Tabela13[[#This Row],[Despesa Previsto]]</f>
        <v>1800</v>
      </c>
      <c r="Q14" s="7">
        <f t="shared" si="0"/>
        <v>387.57203698004469</v>
      </c>
      <c r="R14" s="5">
        <v>8.8999999999999999E-3</v>
      </c>
      <c r="S14" s="7">
        <f>S13+Q14+Tabela13[[#This Row],[Geração Caixa Previsto]]+Tabela13[[#This Row],[Aporte Previsto]]</f>
        <v>47534.991922378329</v>
      </c>
      <c r="T14" s="15">
        <f t="shared" si="1"/>
        <v>136820.90671626845</v>
      </c>
      <c r="U14" s="15">
        <f t="shared" si="3"/>
        <v>203385.99311717186</v>
      </c>
      <c r="V14" s="15">
        <f t="shared" si="2"/>
        <v>38909.859082451636</v>
      </c>
      <c r="W14" s="1">
        <f>Tabela13[[#This Row],[Apto Previsto]]+Tabela13[[#This Row],[Carro Previsto]]</f>
        <v>242295.85219962351</v>
      </c>
      <c r="X14" s="1">
        <f>Tabela13[[#This Row],[ Investimento Previsto]]-Tabela13[[#This Row],[Dívidas Previsto]]+Tabela13[[#This Row],[Outros Patrimônios]]</f>
        <v>153009.93740573339</v>
      </c>
    </row>
    <row r="15" spans="1:24" x14ac:dyDescent="0.3">
      <c r="A15" s="6">
        <v>45323</v>
      </c>
      <c r="B15" s="21"/>
      <c r="C15" s="20"/>
      <c r="D15" s="7" t="str">
        <f>IF(Tabela13[[#This Row],[Despesa Realizado]]="","",Tabela13[[#This Row],[Receita Realizado]]-Tabela13[[#This Row],[Despesa Realizado]])</f>
        <v/>
      </c>
      <c r="E15" s="15"/>
      <c r="F15" s="7">
        <f>IF(Tabela13[[#This Row],[Aporte Realizado]]="",0,Tabela13[[#This Row],[Investimentos Realizado]]-I14-Tabela13[[#This Row],[Aporte Realizado]])</f>
        <v>0</v>
      </c>
      <c r="G15" s="5" t="str">
        <f>IF(Tabela13[[#This Row],[Aporte Realizado]]="","",Tabela13[[#This Row],[Rendimento Realizado R$]]/(Tabela13[[#This Row],[Investimentos Realizado]]-(Tabela13[[#This Row],[Aporte Realizado]])))</f>
        <v/>
      </c>
      <c r="H15" s="16"/>
      <c r="I15" s="17"/>
      <c r="J15" s="17"/>
      <c r="K15" s="17"/>
      <c r="L1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5" s="17">
        <v>15600</v>
      </c>
      <c r="N15" s="17">
        <v>13800</v>
      </c>
      <c r="O15" s="8">
        <f>Tabela13[[#This Row],[Receita Previsto]]-Tabela13[[#This Row],[Despesa Previsto]]</f>
        <v>1800</v>
      </c>
      <c r="P15" s="8">
        <f>Tabela13[[#This Row],[Receita Previsto]]-Tabela13[[#This Row],[Despesa Previsto]]</f>
        <v>1800</v>
      </c>
      <c r="Q15" s="7">
        <f t="shared" si="0"/>
        <v>423.06142810916714</v>
      </c>
      <c r="R15" s="5">
        <v>8.8999999999999999E-3</v>
      </c>
      <c r="S15" s="7">
        <f>S14+Q15+Tabela13[[#This Row],[Geração Caixa Previsto]]+Tabela13[[#This Row],[Aporte Previsto]]</f>
        <v>51558.053350487498</v>
      </c>
      <c r="T15" s="15">
        <f t="shared" si="1"/>
        <v>136506.21863082104</v>
      </c>
      <c r="U15" s="15">
        <f t="shared" si="3"/>
        <v>203670.73350753592</v>
      </c>
      <c r="V15" s="15">
        <f t="shared" si="2"/>
        <v>38820.366406561996</v>
      </c>
      <c r="W15" s="1">
        <f>Tabela13[[#This Row],[Apto Previsto]]+Tabela13[[#This Row],[Carro Previsto]]</f>
        <v>242491.09991409793</v>
      </c>
      <c r="X15" s="1">
        <f>Tabela13[[#This Row],[ Investimento Previsto]]-Tabela13[[#This Row],[Dívidas Previsto]]+Tabela13[[#This Row],[Outros Patrimônios]]</f>
        <v>157542.93463376438</v>
      </c>
    </row>
    <row r="16" spans="1:24" x14ac:dyDescent="0.3">
      <c r="A16" s="6">
        <v>45352</v>
      </c>
      <c r="B16" s="21"/>
      <c r="C16" s="20"/>
      <c r="D16" s="7" t="str">
        <f>IF(Tabela13[[#This Row],[Despesa Realizado]]="","",Tabela13[[#This Row],[Receita Realizado]]-Tabela13[[#This Row],[Despesa Realizado]])</f>
        <v/>
      </c>
      <c r="E16" s="15"/>
      <c r="F16" s="7">
        <f>IF(Tabela13[[#This Row],[Aporte Realizado]]="",0,Tabela13[[#This Row],[Investimentos Realizado]]-I15-Tabela13[[#This Row],[Aporte Realizado]])</f>
        <v>0</v>
      </c>
      <c r="G16" s="5" t="str">
        <f>IF(Tabela13[[#This Row],[Aporte Realizado]]="","",Tabela13[[#This Row],[Rendimento Realizado R$]]/(Tabela13[[#This Row],[Investimentos Realizado]]-(Tabela13[[#This Row],[Aporte Realizado]])))</f>
        <v/>
      </c>
      <c r="H16" s="16"/>
      <c r="I16" s="17"/>
      <c r="J16" s="17"/>
      <c r="K16" s="17"/>
      <c r="L1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6" s="17">
        <v>15600</v>
      </c>
      <c r="N16" s="17">
        <v>13800</v>
      </c>
      <c r="O16" s="8">
        <f>Tabela13[[#This Row],[Receita Previsto]]-Tabela13[[#This Row],[Despesa Previsto]]</f>
        <v>1800</v>
      </c>
      <c r="P16" s="8">
        <f>Tabela13[[#This Row],[Receita Previsto]]-Tabela13[[#This Row],[Despesa Previsto]]</f>
        <v>1800</v>
      </c>
      <c r="Q16" s="7">
        <f t="shared" si="0"/>
        <v>458.86667481933875</v>
      </c>
      <c r="R16" s="5">
        <v>8.8999999999999999E-3</v>
      </c>
      <c r="S16" s="7">
        <f>S15+Q16+Tabela13[[#This Row],[Geração Caixa Previsto]]+Tabela13[[#This Row],[Aporte Previsto]]</f>
        <v>55616.920025306834</v>
      </c>
      <c r="T16" s="15">
        <f t="shared" si="1"/>
        <v>136192.25432797015</v>
      </c>
      <c r="U16" s="15">
        <f t="shared" si="3"/>
        <v>203955.87253444648</v>
      </c>
      <c r="V16" s="15">
        <f t="shared" si="2"/>
        <v>38731.079563826905</v>
      </c>
      <c r="W16" s="1">
        <f>Tabela13[[#This Row],[Apto Previsto]]+Tabela13[[#This Row],[Carro Previsto]]</f>
        <v>242686.95209827338</v>
      </c>
      <c r="X16" s="1">
        <f>Tabela13[[#This Row],[ Investimento Previsto]]-Tabela13[[#This Row],[Dívidas Previsto]]+Tabela13[[#This Row],[Outros Patrimônios]]</f>
        <v>162111.61779561007</v>
      </c>
    </row>
    <row r="17" spans="1:24" x14ac:dyDescent="0.3">
      <c r="A17" s="6">
        <v>45383</v>
      </c>
      <c r="B17" s="21"/>
      <c r="C17" s="20"/>
      <c r="D17" s="7" t="str">
        <f>IF(Tabela13[[#This Row],[Despesa Realizado]]="","",Tabela13[[#This Row],[Receita Realizado]]-Tabela13[[#This Row],[Despesa Realizado]])</f>
        <v/>
      </c>
      <c r="E17" s="15"/>
      <c r="F17" s="7">
        <f>IF(Tabela13[[#This Row],[Aporte Realizado]]="",0,Tabela13[[#This Row],[Investimentos Realizado]]-I16-Tabela13[[#This Row],[Aporte Realizado]])</f>
        <v>0</v>
      </c>
      <c r="G17" s="5" t="str">
        <f>IF(Tabela13[[#This Row],[Aporte Realizado]]="","",Tabela13[[#This Row],[Rendimento Realizado R$]]/(Tabela13[[#This Row],[Investimentos Realizado]]-(Tabela13[[#This Row],[Aporte Realizado]])))</f>
        <v/>
      </c>
      <c r="H17" s="16"/>
      <c r="I17" s="17"/>
      <c r="J17" s="17"/>
      <c r="K17" s="17"/>
      <c r="L1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7" s="17">
        <v>15600</v>
      </c>
      <c r="N17" s="17">
        <v>13800</v>
      </c>
      <c r="O17" s="8">
        <f>Tabela13[[#This Row],[Receita Previsto]]-Tabela13[[#This Row],[Despesa Previsto]]</f>
        <v>1800</v>
      </c>
      <c r="P17" s="8">
        <f>Tabela13[[#This Row],[Receita Previsto]]-Tabela13[[#This Row],[Despesa Previsto]]</f>
        <v>1800</v>
      </c>
      <c r="Q17" s="7">
        <f t="shared" si="0"/>
        <v>494.99058822523079</v>
      </c>
      <c r="R17" s="5">
        <v>8.8999999999999999E-3</v>
      </c>
      <c r="S17" s="7">
        <f>S16+Q17+Tabela13[[#This Row],[Geração Caixa Previsto]]+Tabela13[[#This Row],[Aporte Previsto]]</f>
        <v>59711.910613532062</v>
      </c>
      <c r="T17" s="15">
        <f t="shared" si="1"/>
        <v>135879.01214301583</v>
      </c>
      <c r="U17" s="15">
        <f t="shared" si="3"/>
        <v>204241.41075599473</v>
      </c>
      <c r="V17" s="15">
        <f t="shared" si="2"/>
        <v>38641.998080830104</v>
      </c>
      <c r="W17" s="1">
        <f>Tabela13[[#This Row],[Apto Previsto]]+Tabela13[[#This Row],[Carro Previsto]]</f>
        <v>242883.40883682482</v>
      </c>
      <c r="X17" s="1">
        <f>Tabela13[[#This Row],[ Investimento Previsto]]-Tabela13[[#This Row],[Dívidas Previsto]]+Tabela13[[#This Row],[Outros Patrimônios]]</f>
        <v>166716.30730734105</v>
      </c>
    </row>
    <row r="18" spans="1:24" x14ac:dyDescent="0.3">
      <c r="A18" s="6">
        <v>45413</v>
      </c>
      <c r="B18" s="21"/>
      <c r="C18" s="20"/>
      <c r="D18" s="7" t="str">
        <f>IF(Tabela13[[#This Row],[Despesa Realizado]]="","",Tabela13[[#This Row],[Receita Realizado]]-Tabela13[[#This Row],[Despesa Realizado]])</f>
        <v/>
      </c>
      <c r="E18" s="15"/>
      <c r="F18" s="7">
        <f>IF(Tabela13[[#This Row],[Aporte Realizado]]="",0,Tabela13[[#This Row],[Investimentos Realizado]]-I17-Tabela13[[#This Row],[Aporte Realizado]])</f>
        <v>0</v>
      </c>
      <c r="G18" s="5" t="str">
        <f>IF(Tabela13[[#This Row],[Aporte Realizado]]="","",Tabela13[[#This Row],[Rendimento Realizado R$]]/(Tabela13[[#This Row],[Investimentos Realizado]]-(Tabela13[[#This Row],[Aporte Realizado]])))</f>
        <v/>
      </c>
      <c r="H18" s="16"/>
      <c r="I18" s="17"/>
      <c r="J18" s="17"/>
      <c r="K18" s="17"/>
      <c r="L1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8" s="17">
        <v>15600</v>
      </c>
      <c r="N18" s="17">
        <v>13800</v>
      </c>
      <c r="O18" s="8">
        <f>Tabela13[[#This Row],[Receita Previsto]]-Tabela13[[#This Row],[Despesa Previsto]]</f>
        <v>1800</v>
      </c>
      <c r="P18" s="8">
        <f>Tabela13[[#This Row],[Receita Previsto]]-Tabela13[[#This Row],[Despesa Previsto]]</f>
        <v>1800</v>
      </c>
      <c r="Q18" s="7">
        <f t="shared" si="0"/>
        <v>531.43600446043536</v>
      </c>
      <c r="R18" s="5">
        <v>8.8999999999999999E-3</v>
      </c>
      <c r="S18" s="7">
        <f>S17+Q18+Tabela13[[#This Row],[Geração Caixa Previsto]]+Tabela13[[#This Row],[Aporte Previsto]]</f>
        <v>63843.346617992494</v>
      </c>
      <c r="T18" s="15">
        <f t="shared" si="1"/>
        <v>135566.49041508691</v>
      </c>
      <c r="U18" s="15">
        <f t="shared" si="3"/>
        <v>204527.34873105315</v>
      </c>
      <c r="V18" s="15">
        <f t="shared" si="2"/>
        <v>38553.121485244199</v>
      </c>
      <c r="W18" s="1">
        <f>Tabela13[[#This Row],[Apto Previsto]]+Tabela13[[#This Row],[Carro Previsto]]</f>
        <v>243080.47021629734</v>
      </c>
      <c r="X18" s="1">
        <f>Tabela13[[#This Row],[ Investimento Previsto]]-Tabela13[[#This Row],[Dívidas Previsto]]+Tabela13[[#This Row],[Outros Patrimônios]]</f>
        <v>171357.32641920293</v>
      </c>
    </row>
    <row r="19" spans="1:24" x14ac:dyDescent="0.3">
      <c r="A19" s="6">
        <v>45444</v>
      </c>
      <c r="B19" s="21"/>
      <c r="C19" s="20"/>
      <c r="D19" s="7" t="str">
        <f>IF(Tabela13[[#This Row],[Despesa Realizado]]="","",Tabela13[[#This Row],[Receita Realizado]]-Tabela13[[#This Row],[Despesa Realizado]])</f>
        <v/>
      </c>
      <c r="E19" s="15"/>
      <c r="F19" s="7">
        <f>IF(Tabela13[[#This Row],[Aporte Realizado]]="",0,Tabela13[[#This Row],[Investimentos Realizado]]-I18-Tabela13[[#This Row],[Aporte Realizado]])</f>
        <v>0</v>
      </c>
      <c r="G19" s="5" t="str">
        <f>IF(Tabela13[[#This Row],[Aporte Realizado]]="","",Tabela13[[#This Row],[Rendimento Realizado R$]]/(Tabela13[[#This Row],[Investimentos Realizado]]-(Tabela13[[#This Row],[Aporte Realizado]])))</f>
        <v/>
      </c>
      <c r="H19" s="16"/>
      <c r="I19" s="17"/>
      <c r="J19" s="17"/>
      <c r="K19" s="17"/>
      <c r="L1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9" s="17">
        <v>15600</v>
      </c>
      <c r="N19" s="17">
        <v>13800</v>
      </c>
      <c r="O19" s="8">
        <f>Tabela13[[#This Row],[Receita Previsto]]-Tabela13[[#This Row],[Despesa Previsto]]</f>
        <v>1800</v>
      </c>
      <c r="P19" s="8">
        <f>Tabela13[[#This Row],[Receita Previsto]]-Tabela13[[#This Row],[Despesa Previsto]]</f>
        <v>1800</v>
      </c>
      <c r="Q19" s="7">
        <f t="shared" si="0"/>
        <v>568.20578490013315</v>
      </c>
      <c r="R19" s="5">
        <v>8.8999999999999999E-3</v>
      </c>
      <c r="S19" s="7">
        <f>S18+Q19+Tabela13[[#This Row],[Geração Caixa Previsto]]+Tabela13[[#This Row],[Aporte Previsto]]</f>
        <v>68011.55240289263</v>
      </c>
      <c r="T19" s="15">
        <f t="shared" si="1"/>
        <v>135254.68748713221</v>
      </c>
      <c r="U19" s="15">
        <f t="shared" si="3"/>
        <v>204813.68701927664</v>
      </c>
      <c r="V19" s="15">
        <f t="shared" si="2"/>
        <v>38464.449305828137</v>
      </c>
      <c r="W19" s="1">
        <f>Tabela13[[#This Row],[Apto Previsto]]+Tabela13[[#This Row],[Carro Previsto]]</f>
        <v>243278.13632510477</v>
      </c>
      <c r="X19" s="1">
        <f>Tabela13[[#This Row],[ Investimento Previsto]]-Tabela13[[#This Row],[Dívidas Previsto]]+Tabela13[[#This Row],[Outros Patrimônios]]</f>
        <v>176035.00124086521</v>
      </c>
    </row>
    <row r="20" spans="1:24" x14ac:dyDescent="0.3">
      <c r="A20" s="6">
        <v>45474</v>
      </c>
      <c r="B20" s="21"/>
      <c r="C20" s="20"/>
      <c r="D20" s="7" t="str">
        <f>IF(Tabela13[[#This Row],[Despesa Realizado]]="","",Tabela13[[#This Row],[Receita Realizado]]-Tabela13[[#This Row],[Despesa Realizado]])</f>
        <v/>
      </c>
      <c r="E20" s="15"/>
      <c r="F20" s="7">
        <f>IF(Tabela13[[#This Row],[Aporte Realizado]]="",0,Tabela13[[#This Row],[Investimentos Realizado]]-I19-Tabela13[[#This Row],[Aporte Realizado]])</f>
        <v>0</v>
      </c>
      <c r="G20" s="5" t="str">
        <f>IF(Tabela13[[#This Row],[Aporte Realizado]]="","",Tabela13[[#This Row],[Rendimento Realizado R$]]/(Tabela13[[#This Row],[Investimentos Realizado]]-(Tabela13[[#This Row],[Aporte Realizado]])))</f>
        <v/>
      </c>
      <c r="H20" s="16"/>
      <c r="I20" s="17"/>
      <c r="J20" s="17"/>
      <c r="K20" s="17"/>
      <c r="L2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0" s="17">
        <v>15600</v>
      </c>
      <c r="N20" s="17">
        <v>13800</v>
      </c>
      <c r="O20" s="8">
        <f>Tabela13[[#This Row],[Receita Previsto]]-Tabela13[[#This Row],[Despesa Previsto]]</f>
        <v>1800</v>
      </c>
      <c r="P20" s="8">
        <f>Tabela13[[#This Row],[Receita Previsto]]-Tabela13[[#This Row],[Despesa Previsto]]</f>
        <v>1800</v>
      </c>
      <c r="Q20" s="7">
        <f t="shared" si="0"/>
        <v>605.30281638574445</v>
      </c>
      <c r="R20" s="5">
        <v>8.8999999999999999E-3</v>
      </c>
      <c r="S20" s="7">
        <f>S19+Q20+Tabela13[[#This Row],[Geração Caixa Previsto]]+Tabela13[[#This Row],[Aporte Previsto]]</f>
        <v>72216.855219278368</v>
      </c>
      <c r="T20" s="15">
        <f t="shared" si="1"/>
        <v>134943.6017059118</v>
      </c>
      <c r="U20" s="15">
        <f t="shared" si="3"/>
        <v>205100.42618110363</v>
      </c>
      <c r="V20" s="15">
        <f t="shared" si="2"/>
        <v>38375.981072424736</v>
      </c>
      <c r="W20" s="1">
        <f>Tabela13[[#This Row],[Apto Previsto]]+Tabela13[[#This Row],[Carro Previsto]]</f>
        <v>243476.40725352836</v>
      </c>
      <c r="X20" s="1">
        <f>Tabela13[[#This Row],[ Investimento Previsto]]-Tabela13[[#This Row],[Dívidas Previsto]]+Tabela13[[#This Row],[Outros Patrimônios]]</f>
        <v>180749.66076689493</v>
      </c>
    </row>
    <row r="21" spans="1:24" x14ac:dyDescent="0.3">
      <c r="A21" s="6">
        <v>45505</v>
      </c>
      <c r="B21" s="21"/>
      <c r="C21" s="20"/>
      <c r="D21" s="7" t="str">
        <f>IF(Tabela13[[#This Row],[Despesa Realizado]]="","",Tabela13[[#This Row],[Receita Realizado]]-Tabela13[[#This Row],[Despesa Realizado]])</f>
        <v/>
      </c>
      <c r="E21" s="15"/>
      <c r="F21" s="7">
        <f>IF(Tabela13[[#This Row],[Aporte Realizado]]="",0,Tabela13[[#This Row],[Investimentos Realizado]]-I20-Tabela13[[#This Row],[Aporte Realizado]])</f>
        <v>0</v>
      </c>
      <c r="G21" s="5" t="str">
        <f>IF(Tabela13[[#This Row],[Aporte Realizado]]="","",Tabela13[[#This Row],[Rendimento Realizado R$]]/(Tabela13[[#This Row],[Investimentos Realizado]]-(Tabela13[[#This Row],[Aporte Realizado]])))</f>
        <v/>
      </c>
      <c r="H21" s="16"/>
      <c r="I21" s="17"/>
      <c r="J21" s="17"/>
      <c r="K21" s="17"/>
      <c r="L2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1" s="17">
        <v>15600</v>
      </c>
      <c r="N21" s="17">
        <v>13800</v>
      </c>
      <c r="O21" s="8">
        <f>Tabela13[[#This Row],[Receita Previsto]]-Tabela13[[#This Row],[Despesa Previsto]]</f>
        <v>1800</v>
      </c>
      <c r="P21" s="8">
        <f>Tabela13[[#This Row],[Receita Previsto]]-Tabela13[[#This Row],[Despesa Previsto]]</f>
        <v>1800</v>
      </c>
      <c r="Q21" s="7">
        <f t="shared" si="0"/>
        <v>642.73001145157752</v>
      </c>
      <c r="R21" s="5">
        <v>8.8999999999999999E-3</v>
      </c>
      <c r="S21" s="7">
        <f>S20+Q21+Tabela13[[#This Row],[Geração Caixa Previsto]]+Tabela13[[#This Row],[Aporte Previsto]]</f>
        <v>76459.58523072995</v>
      </c>
      <c r="T21" s="15">
        <f t="shared" si="1"/>
        <v>134633.2314219882</v>
      </c>
      <c r="U21" s="15">
        <f t="shared" si="3"/>
        <v>205387.56677775719</v>
      </c>
      <c r="V21" s="15">
        <f t="shared" si="2"/>
        <v>38287.716315958161</v>
      </c>
      <c r="W21" s="1">
        <f>Tabela13[[#This Row],[Apto Previsto]]+Tabela13[[#This Row],[Carro Previsto]]</f>
        <v>243675.28309371535</v>
      </c>
      <c r="X21" s="1">
        <f>Tabela13[[#This Row],[ Investimento Previsto]]-Tabela13[[#This Row],[Dívidas Previsto]]+Tabela13[[#This Row],[Outros Patrimônios]]</f>
        <v>185501.6369024571</v>
      </c>
    </row>
    <row r="22" spans="1:24" x14ac:dyDescent="0.3">
      <c r="A22" s="6">
        <v>45536</v>
      </c>
      <c r="B22" s="21"/>
      <c r="C22" s="20"/>
      <c r="D22" s="7" t="str">
        <f>IF(Tabela13[[#This Row],[Despesa Realizado]]="","",Tabela13[[#This Row],[Receita Realizado]]-Tabela13[[#This Row],[Despesa Realizado]])</f>
        <v/>
      </c>
      <c r="E22" s="15"/>
      <c r="F22" s="7">
        <f>IF(Tabela13[[#This Row],[Aporte Realizado]]="",0,Tabela13[[#This Row],[Investimentos Realizado]]-I21-Tabela13[[#This Row],[Aporte Realizado]])</f>
        <v>0</v>
      </c>
      <c r="G22" s="5" t="str">
        <f>IF(Tabela13[[#This Row],[Aporte Realizado]]="","",Tabela13[[#This Row],[Rendimento Realizado R$]]/(Tabela13[[#This Row],[Investimentos Realizado]]-(Tabela13[[#This Row],[Aporte Realizado]])))</f>
        <v/>
      </c>
      <c r="H22" s="16"/>
      <c r="I22" s="17"/>
      <c r="J22" s="17"/>
      <c r="K22" s="17"/>
      <c r="L2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2" s="17">
        <v>15600</v>
      </c>
      <c r="N22" s="17">
        <v>13800</v>
      </c>
      <c r="O22" s="8">
        <f>Tabela13[[#This Row],[Receita Previsto]]-Tabela13[[#This Row],[Despesa Previsto]]</f>
        <v>1800</v>
      </c>
      <c r="P22" s="8">
        <f>Tabela13[[#This Row],[Receita Previsto]]-Tabela13[[#This Row],[Despesa Previsto]]</f>
        <v>1800</v>
      </c>
      <c r="Q22" s="7">
        <f t="shared" si="0"/>
        <v>680.49030855349656</v>
      </c>
      <c r="R22" s="5">
        <v>8.8999999999999999E-3</v>
      </c>
      <c r="S22" s="7">
        <f>S21+Q22+Tabela13[[#This Row],[Geração Caixa Previsto]]+Tabela13[[#This Row],[Aporte Previsto]]</f>
        <v>80740.07553928344</v>
      </c>
      <c r="T22" s="15">
        <f t="shared" si="1"/>
        <v>134323.57498971763</v>
      </c>
      <c r="U22" s="15">
        <f t="shared" si="3"/>
        <v>205675.10937124607</v>
      </c>
      <c r="V22" s="15">
        <f t="shared" si="2"/>
        <v>38199.654568431462</v>
      </c>
      <c r="W22" s="1">
        <f>Tabela13[[#This Row],[Apto Previsto]]+Tabela13[[#This Row],[Carro Previsto]]</f>
        <v>243874.76393967753</v>
      </c>
      <c r="X22" s="1">
        <f>Tabela13[[#This Row],[ Investimento Previsto]]-Tabela13[[#This Row],[Dívidas Previsto]]+Tabela13[[#This Row],[Outros Patrimônios]]</f>
        <v>190291.26448924333</v>
      </c>
    </row>
    <row r="23" spans="1:24" x14ac:dyDescent="0.3">
      <c r="A23" s="6">
        <v>45566</v>
      </c>
      <c r="B23" s="21"/>
      <c r="C23" s="20"/>
      <c r="D23" s="7" t="str">
        <f>IF(Tabela13[[#This Row],[Despesa Realizado]]="","",Tabela13[[#This Row],[Receita Realizado]]-Tabela13[[#This Row],[Despesa Realizado]])</f>
        <v/>
      </c>
      <c r="E23" s="15"/>
      <c r="F23" s="7">
        <f>IF(Tabela13[[#This Row],[Aporte Realizado]]="",0,Tabela13[[#This Row],[Investimentos Realizado]]-I22-Tabela13[[#This Row],[Aporte Realizado]])</f>
        <v>0</v>
      </c>
      <c r="G23" s="5" t="str">
        <f>IF(Tabela13[[#This Row],[Aporte Realizado]]="","",Tabela13[[#This Row],[Rendimento Realizado R$]]/(Tabela13[[#This Row],[Investimentos Realizado]]-(Tabela13[[#This Row],[Aporte Realizado]])))</f>
        <v/>
      </c>
      <c r="H23" s="16"/>
      <c r="I23" s="17"/>
      <c r="J23" s="17"/>
      <c r="K23" s="17"/>
      <c r="L2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3" s="17">
        <v>15600</v>
      </c>
      <c r="N23" s="17">
        <v>13800</v>
      </c>
      <c r="O23" s="8">
        <f>Tabela13[[#This Row],[Receita Previsto]]-Tabela13[[#This Row],[Despesa Previsto]]</f>
        <v>1800</v>
      </c>
      <c r="P23" s="8">
        <f>Tabela13[[#This Row],[Receita Previsto]]-Tabela13[[#This Row],[Despesa Previsto]]</f>
        <v>1800</v>
      </c>
      <c r="Q23" s="7">
        <f t="shared" si="0"/>
        <v>718.58667229962259</v>
      </c>
      <c r="R23" s="5">
        <v>8.8999999999999999E-3</v>
      </c>
      <c r="S23" s="7">
        <f>S22+Q23+Tabela13[[#This Row],[Geração Caixa Previsto]]+Tabela13[[#This Row],[Aporte Previsto]]</f>
        <v>85058.662211583069</v>
      </c>
      <c r="T23" s="15">
        <f t="shared" si="1"/>
        <v>134014.63076724129</v>
      </c>
      <c r="U23" s="15">
        <f t="shared" si="3"/>
        <v>205963.05452436584</v>
      </c>
      <c r="V23" s="15">
        <f t="shared" si="2"/>
        <v>38111.795362924073</v>
      </c>
      <c r="W23" s="1">
        <f>Tabela13[[#This Row],[Apto Previsto]]+Tabela13[[#This Row],[Carro Previsto]]</f>
        <v>244074.84988728992</v>
      </c>
      <c r="X23" s="1">
        <f>Tabela13[[#This Row],[ Investimento Previsto]]-Tabela13[[#This Row],[Dívidas Previsto]]+Tabela13[[#This Row],[Outros Patrimônios]]</f>
        <v>195118.88133163168</v>
      </c>
    </row>
    <row r="24" spans="1:24" x14ac:dyDescent="0.3">
      <c r="A24" s="6">
        <v>45597</v>
      </c>
      <c r="B24" s="21"/>
      <c r="C24" s="20"/>
      <c r="D24" s="7" t="str">
        <f>IF(Tabela13[[#This Row],[Despesa Realizado]]="","",Tabela13[[#This Row],[Receita Realizado]]-Tabela13[[#This Row],[Despesa Realizado]])</f>
        <v/>
      </c>
      <c r="E24" s="15"/>
      <c r="F24" s="7">
        <f>IF(Tabela13[[#This Row],[Aporte Realizado]]="",0,Tabela13[[#This Row],[Investimentos Realizado]]-I23-Tabela13[[#This Row],[Aporte Realizado]])</f>
        <v>0</v>
      </c>
      <c r="G24" s="5" t="str">
        <f>IF(Tabela13[[#This Row],[Aporte Realizado]]="","",Tabela13[[#This Row],[Rendimento Realizado R$]]/(Tabela13[[#This Row],[Investimentos Realizado]]-(Tabela13[[#This Row],[Aporte Realizado]])))</f>
        <v/>
      </c>
      <c r="H24" s="16"/>
      <c r="I24" s="17"/>
      <c r="J24" s="17"/>
      <c r="K24" s="17"/>
      <c r="L2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4" s="17">
        <v>15600</v>
      </c>
      <c r="N24" s="17">
        <v>13800</v>
      </c>
      <c r="O24" s="8">
        <f>Tabela13[[#This Row],[Receita Previsto]]-Tabela13[[#This Row],[Despesa Previsto]]</f>
        <v>1800</v>
      </c>
      <c r="P24" s="8">
        <f>Tabela13[[#This Row],[Receita Previsto]]-Tabela13[[#This Row],[Despesa Previsto]]</f>
        <v>1800</v>
      </c>
      <c r="Q24" s="7">
        <f t="shared" si="0"/>
        <v>757.02209368308934</v>
      </c>
      <c r="R24" s="5">
        <v>8.8999999999999999E-3</v>
      </c>
      <c r="S24" s="7">
        <f>S23+Q24+Tabela13[[#This Row],[Geração Caixa Previsto]]+Tabela13[[#This Row],[Aporte Previsto]]</f>
        <v>89415.684305266157</v>
      </c>
      <c r="T24" s="15">
        <f t="shared" si="1"/>
        <v>133706.39711647664</v>
      </c>
      <c r="U24" s="15">
        <f t="shared" si="3"/>
        <v>206251.40280069996</v>
      </c>
      <c r="V24" s="15">
        <f t="shared" si="2"/>
        <v>38024.13823358935</v>
      </c>
      <c r="W24" s="1">
        <f>Tabela13[[#This Row],[Apto Previsto]]+Tabela13[[#This Row],[Carro Previsto]]</f>
        <v>244275.54103428932</v>
      </c>
      <c r="X24" s="1">
        <f>Tabela13[[#This Row],[ Investimento Previsto]]-Tabela13[[#This Row],[Dívidas Previsto]]+Tabela13[[#This Row],[Outros Patrimônios]]</f>
        <v>199984.82822307883</v>
      </c>
    </row>
    <row r="25" spans="1:24" x14ac:dyDescent="0.3">
      <c r="A25" s="6">
        <v>45627</v>
      </c>
      <c r="B25" s="21"/>
      <c r="C25" s="20"/>
      <c r="D25" s="7" t="str">
        <f>IF(Tabela13[[#This Row],[Despesa Realizado]]="","",Tabela13[[#This Row],[Receita Realizado]]-Tabela13[[#This Row],[Despesa Realizado]])</f>
        <v/>
      </c>
      <c r="E25" s="15"/>
      <c r="F25" s="7">
        <f>IF(Tabela13[[#This Row],[Aporte Realizado]]="",0,Tabela13[[#This Row],[Investimentos Realizado]]-I24-Tabela13[[#This Row],[Aporte Realizado]])</f>
        <v>0</v>
      </c>
      <c r="G25" s="5" t="str">
        <f>IF(Tabela13[[#This Row],[Aporte Realizado]]="","",Tabela13[[#This Row],[Rendimento Realizado R$]]/(Tabela13[[#This Row],[Investimentos Realizado]]-(Tabela13[[#This Row],[Aporte Realizado]])))</f>
        <v/>
      </c>
      <c r="H25" s="16"/>
      <c r="I25" s="17"/>
      <c r="J25" s="17"/>
      <c r="K25" s="17"/>
      <c r="L2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5" s="17">
        <v>15600</v>
      </c>
      <c r="N25" s="17">
        <v>13800</v>
      </c>
      <c r="O25" s="8">
        <f>Tabela13[[#This Row],[Receita Previsto]]-Tabela13[[#This Row],[Despesa Previsto]]</f>
        <v>1800</v>
      </c>
      <c r="P25" s="8">
        <f>Tabela13[[#This Row],[Receita Previsto]]-Tabela13[[#This Row],[Despesa Previsto]]</f>
        <v>1800</v>
      </c>
      <c r="Q25" s="7">
        <f t="shared" si="0"/>
        <v>795.79959031686883</v>
      </c>
      <c r="R25" s="5">
        <v>8.8999999999999999E-3</v>
      </c>
      <c r="S25" s="7">
        <f>S24+Q25+Tabela13[[#This Row],[Geração Caixa Previsto]]+Tabela13[[#This Row],[Aporte Previsto]]</f>
        <v>93811.48389558302</v>
      </c>
      <c r="T25" s="15">
        <f t="shared" si="1"/>
        <v>133398.87240310875</v>
      </c>
      <c r="U25" s="15">
        <f t="shared" si="3"/>
        <v>206540.15476462097</v>
      </c>
      <c r="V25" s="15">
        <f t="shared" si="2"/>
        <v>37936.682715652096</v>
      </c>
      <c r="W25" s="1">
        <f>Tabela13[[#This Row],[Apto Previsto]]+Tabela13[[#This Row],[Carro Previsto]]</f>
        <v>244476.83748027307</v>
      </c>
      <c r="X25" s="1">
        <f>Tabela13[[#This Row],[ Investimento Previsto]]-Tabela13[[#This Row],[Dívidas Previsto]]+Tabela13[[#This Row],[Outros Patrimônios]]</f>
        <v>204889.44897274734</v>
      </c>
    </row>
    <row r="26" spans="1:24" x14ac:dyDescent="0.3">
      <c r="A26" s="6">
        <v>45658</v>
      </c>
      <c r="B26" s="21"/>
      <c r="C26" s="20"/>
      <c r="D26" s="7" t="str">
        <f>IF(Tabela13[[#This Row],[Despesa Realizado]]="","",Tabela13[[#This Row],[Receita Realizado]]-Tabela13[[#This Row],[Despesa Realizado]])</f>
        <v/>
      </c>
      <c r="E26" s="15"/>
      <c r="F26" s="7">
        <f>IF(Tabela13[[#This Row],[Aporte Realizado]]="",0,Tabela13[[#This Row],[Investimentos Realizado]]-I25-Tabela13[[#This Row],[Aporte Realizado]])</f>
        <v>0</v>
      </c>
      <c r="G26" s="5" t="str">
        <f>IF(Tabela13[[#This Row],[Aporte Realizado]]="","",Tabela13[[#This Row],[Rendimento Realizado R$]]/(Tabela13[[#This Row],[Investimentos Realizado]]-(Tabela13[[#This Row],[Aporte Realizado]])))</f>
        <v/>
      </c>
      <c r="H26" s="16"/>
      <c r="I26" s="17"/>
      <c r="J26" s="17"/>
      <c r="K26" s="17"/>
      <c r="L2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6" s="17">
        <v>16000</v>
      </c>
      <c r="N26" s="17">
        <v>14100</v>
      </c>
      <c r="O26" s="8">
        <f>Tabela13[[#This Row],[Receita Previsto]]-Tabela13[[#This Row],[Despesa Previsto]]</f>
        <v>1900</v>
      </c>
      <c r="P26" s="8">
        <f>Tabela13[[#This Row],[Receita Previsto]]-Tabela13[[#This Row],[Despesa Previsto]]</f>
        <v>1900</v>
      </c>
      <c r="Q26" s="7">
        <f t="shared" si="0"/>
        <v>834.92220667068887</v>
      </c>
      <c r="R26" s="5">
        <v>8.8999999999999999E-3</v>
      </c>
      <c r="S26" s="7">
        <f>S25+Q26+Tabela13[[#This Row],[Geração Caixa Previsto]]+Tabela13[[#This Row],[Aporte Previsto]]</f>
        <v>98446.406102253706</v>
      </c>
      <c r="T26" s="15">
        <f t="shared" si="1"/>
        <v>133092.0549965816</v>
      </c>
      <c r="U26" s="15">
        <f t="shared" si="3"/>
        <v>206829.31098129146</v>
      </c>
      <c r="V26" s="15">
        <f t="shared" si="2"/>
        <v>37849.428345406101</v>
      </c>
      <c r="W26" s="1">
        <f>Tabela13[[#This Row],[Apto Previsto]]+Tabela13[[#This Row],[Carro Previsto]]</f>
        <v>244678.73932669757</v>
      </c>
      <c r="X26" s="1">
        <f>Tabela13[[#This Row],[ Investimento Previsto]]-Tabela13[[#This Row],[Dívidas Previsto]]+Tabela13[[#This Row],[Outros Patrimônios]]</f>
        <v>210033.09043236967</v>
      </c>
    </row>
    <row r="27" spans="1:24" x14ac:dyDescent="0.3">
      <c r="A27" s="6">
        <v>45689</v>
      </c>
      <c r="B27" s="21"/>
      <c r="C27" s="20"/>
      <c r="D27" s="7" t="str">
        <f>IF(Tabela13[[#This Row],[Despesa Realizado]]="","",Tabela13[[#This Row],[Receita Realizado]]-Tabela13[[#This Row],[Despesa Realizado]])</f>
        <v/>
      </c>
      <c r="E27" s="15"/>
      <c r="F27" s="7">
        <f>IF(Tabela13[[#This Row],[Aporte Realizado]]="",0,Tabela13[[#This Row],[Investimentos Realizado]]-I26-Tabela13[[#This Row],[Aporte Realizado]])</f>
        <v>0</v>
      </c>
      <c r="G27" s="5" t="str">
        <f>IF(Tabela13[[#This Row],[Aporte Realizado]]="","",Tabela13[[#This Row],[Rendimento Realizado R$]]/(Tabela13[[#This Row],[Investimentos Realizado]]-(Tabela13[[#This Row],[Aporte Realizado]])))</f>
        <v/>
      </c>
      <c r="H27" s="16"/>
      <c r="I27" s="17"/>
      <c r="J27" s="17"/>
      <c r="K27" s="17"/>
      <c r="L2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7" s="17">
        <v>16000</v>
      </c>
      <c r="N27" s="17">
        <v>14100</v>
      </c>
      <c r="O27" s="8">
        <f>Tabela13[[#This Row],[Receita Previsto]]-Tabela13[[#This Row],[Despesa Previsto]]</f>
        <v>1900</v>
      </c>
      <c r="P27" s="8">
        <f>Tabela13[[#This Row],[Receita Previsto]]-Tabela13[[#This Row],[Despesa Previsto]]</f>
        <v>1900</v>
      </c>
      <c r="Q27" s="7">
        <f t="shared" si="0"/>
        <v>876.17301431005797</v>
      </c>
      <c r="R27" s="5">
        <v>8.8999999999999999E-3</v>
      </c>
      <c r="S27" s="7">
        <f>S26+Q27+Tabela13[[#This Row],[Geração Caixa Previsto]]+Tabela13[[#This Row],[Aporte Previsto]]</f>
        <v>103122.57911656376</v>
      </c>
      <c r="T27" s="15">
        <f t="shared" si="1"/>
        <v>132785.94327008948</v>
      </c>
      <c r="U27" s="15">
        <f t="shared" si="3"/>
        <v>207118.87201666529</v>
      </c>
      <c r="V27" s="15">
        <f t="shared" si="2"/>
        <v>37762.374660211666</v>
      </c>
      <c r="W27" s="1">
        <f>Tabela13[[#This Row],[Apto Previsto]]+Tabela13[[#This Row],[Carro Previsto]]</f>
        <v>244881.24667687697</v>
      </c>
      <c r="X27" s="1">
        <f>Tabela13[[#This Row],[ Investimento Previsto]]-Tabela13[[#This Row],[Dívidas Previsto]]+Tabela13[[#This Row],[Outros Patrimônios]]</f>
        <v>215217.88252335123</v>
      </c>
    </row>
    <row r="28" spans="1:24" x14ac:dyDescent="0.3">
      <c r="A28" s="6">
        <v>45717</v>
      </c>
      <c r="B28" s="21"/>
      <c r="C28" s="20"/>
      <c r="D28" s="7" t="str">
        <f>IF(Tabela13[[#This Row],[Despesa Realizado]]="","",Tabela13[[#This Row],[Receita Realizado]]-Tabela13[[#This Row],[Despesa Realizado]])</f>
        <v/>
      </c>
      <c r="E28" s="15"/>
      <c r="F28" s="7">
        <f>IF(Tabela13[[#This Row],[Aporte Realizado]]="",0,Tabela13[[#This Row],[Investimentos Realizado]]-I27-Tabela13[[#This Row],[Aporte Realizado]])</f>
        <v>0</v>
      </c>
      <c r="G28" s="5" t="str">
        <f>IF(Tabela13[[#This Row],[Aporte Realizado]]="","",Tabela13[[#This Row],[Rendimento Realizado R$]]/(Tabela13[[#This Row],[Investimentos Realizado]]-(Tabela13[[#This Row],[Aporte Realizado]])))</f>
        <v/>
      </c>
      <c r="H28" s="16"/>
      <c r="I28" s="17"/>
      <c r="J28" s="17"/>
      <c r="K28" s="17"/>
      <c r="L2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8" s="17">
        <v>16000</v>
      </c>
      <c r="N28" s="17">
        <v>14100</v>
      </c>
      <c r="O28" s="8">
        <f>Tabela13[[#This Row],[Receita Previsto]]-Tabela13[[#This Row],[Despesa Previsto]]</f>
        <v>1900</v>
      </c>
      <c r="P28" s="8">
        <f>Tabela13[[#This Row],[Receita Previsto]]-Tabela13[[#This Row],[Despesa Previsto]]</f>
        <v>1900</v>
      </c>
      <c r="Q28" s="7">
        <f t="shared" si="0"/>
        <v>917.79095413741754</v>
      </c>
      <c r="R28" s="5">
        <v>8.8999999999999999E-3</v>
      </c>
      <c r="S28" s="7">
        <f>S27+Q28+Tabela13[[#This Row],[Geração Caixa Previsto]]+Tabela13[[#This Row],[Aporte Previsto]]</f>
        <v>107840.37007070119</v>
      </c>
      <c r="T28" s="15">
        <f t="shared" si="1"/>
        <v>132480.53560056828</v>
      </c>
      <c r="U28" s="15">
        <f t="shared" si="3"/>
        <v>207408.83843748865</v>
      </c>
      <c r="V28" s="15">
        <f t="shared" si="2"/>
        <v>37675.521198493181</v>
      </c>
      <c r="W28" s="1">
        <f>Tabela13[[#This Row],[Apto Previsto]]+Tabela13[[#This Row],[Carro Previsto]]</f>
        <v>245084.35963598185</v>
      </c>
      <c r="X28" s="1">
        <f>Tabela13[[#This Row],[ Investimento Previsto]]-Tabela13[[#This Row],[Dívidas Previsto]]+Tabela13[[#This Row],[Outros Patrimônios]]</f>
        <v>220444.19410611474</v>
      </c>
    </row>
    <row r="29" spans="1:24" x14ac:dyDescent="0.3">
      <c r="A29" s="6">
        <v>45748</v>
      </c>
      <c r="B29" s="21"/>
      <c r="C29" s="20"/>
      <c r="D29" s="7" t="str">
        <f>IF(Tabela13[[#This Row],[Despesa Realizado]]="","",Tabela13[[#This Row],[Receita Realizado]]-Tabela13[[#This Row],[Despesa Realizado]])</f>
        <v/>
      </c>
      <c r="E29" s="15"/>
      <c r="F29" s="7">
        <f>IF(Tabela13[[#This Row],[Aporte Realizado]]="",0,Tabela13[[#This Row],[Investimentos Realizado]]-I28-Tabela13[[#This Row],[Aporte Realizado]])</f>
        <v>0</v>
      </c>
      <c r="G29" s="5" t="str">
        <f>IF(Tabela13[[#This Row],[Aporte Realizado]]="","",Tabela13[[#This Row],[Rendimento Realizado R$]]/(Tabela13[[#This Row],[Investimentos Realizado]]-(Tabela13[[#This Row],[Aporte Realizado]])))</f>
        <v/>
      </c>
      <c r="H29" s="16"/>
      <c r="I29" s="17"/>
      <c r="J29" s="17"/>
      <c r="K29" s="17"/>
      <c r="L2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29" s="17">
        <v>16000</v>
      </c>
      <c r="N29" s="17">
        <v>14100</v>
      </c>
      <c r="O29" s="8">
        <f>Tabela13[[#This Row],[Receita Previsto]]-Tabela13[[#This Row],[Despesa Previsto]]</f>
        <v>1900</v>
      </c>
      <c r="P29" s="8">
        <f>Tabela13[[#This Row],[Receita Previsto]]-Tabela13[[#This Row],[Despesa Previsto]]</f>
        <v>1900</v>
      </c>
      <c r="Q29" s="7">
        <f t="shared" si="0"/>
        <v>959.77929362924056</v>
      </c>
      <c r="R29" s="5">
        <v>8.8999999999999999E-3</v>
      </c>
      <c r="S29" s="7">
        <f>S28+Q29+Tabela13[[#This Row],[Geração Caixa Previsto]]+Tabela13[[#This Row],[Aporte Previsto]]</f>
        <v>112600.14936433043</v>
      </c>
      <c r="T29" s="15">
        <f t="shared" si="1"/>
        <v>132175.83036868699</v>
      </c>
      <c r="U29" s="15">
        <f t="shared" si="3"/>
        <v>207699.21081130116</v>
      </c>
      <c r="V29" s="15">
        <f t="shared" si="2"/>
        <v>37588.867499736647</v>
      </c>
      <c r="W29" s="1">
        <f>Tabela13[[#This Row],[Apto Previsto]]+Tabela13[[#This Row],[Carro Previsto]]</f>
        <v>245288.0783110378</v>
      </c>
      <c r="X29" s="1">
        <f>Tabela13[[#This Row],[ Investimento Previsto]]-Tabela13[[#This Row],[Dívidas Previsto]]+Tabela13[[#This Row],[Outros Patrimônios]]</f>
        <v>225712.39730668123</v>
      </c>
    </row>
    <row r="30" spans="1:24" x14ac:dyDescent="0.3">
      <c r="A30" s="6">
        <v>45778</v>
      </c>
      <c r="B30" s="21"/>
      <c r="C30" s="20"/>
      <c r="D30" s="7" t="str">
        <f>IF(Tabela13[[#This Row],[Despesa Realizado]]="","",Tabela13[[#This Row],[Receita Realizado]]-Tabela13[[#This Row],[Despesa Realizado]])</f>
        <v/>
      </c>
      <c r="E30" s="15"/>
      <c r="F30" s="7">
        <f>IF(Tabela13[[#This Row],[Aporte Realizado]]="",0,Tabela13[[#This Row],[Investimentos Realizado]]-I29-Tabela13[[#This Row],[Aporte Realizado]])</f>
        <v>0</v>
      </c>
      <c r="G30" s="5" t="str">
        <f>IF(Tabela13[[#This Row],[Aporte Realizado]]="","",Tabela13[[#This Row],[Rendimento Realizado R$]]/(Tabela13[[#This Row],[Investimentos Realizado]]-(Tabela13[[#This Row],[Aporte Realizado]])))</f>
        <v/>
      </c>
      <c r="H30" s="16"/>
      <c r="I30" s="17"/>
      <c r="J30" s="17"/>
      <c r="K30" s="17"/>
      <c r="L3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0" s="17">
        <v>16000</v>
      </c>
      <c r="N30" s="17">
        <v>14100</v>
      </c>
      <c r="O30" s="8">
        <f>Tabela13[[#This Row],[Receita Previsto]]-Tabela13[[#This Row],[Despesa Previsto]]</f>
        <v>1900</v>
      </c>
      <c r="P30" s="8">
        <f>Tabela13[[#This Row],[Receita Previsto]]-Tabela13[[#This Row],[Despesa Previsto]]</f>
        <v>1900</v>
      </c>
      <c r="Q30" s="7">
        <f t="shared" si="0"/>
        <v>1002.1413293425408</v>
      </c>
      <c r="R30" s="5">
        <v>8.8999999999999999E-3</v>
      </c>
      <c r="S30" s="7">
        <f>S29+Q30+Tabela13[[#This Row],[Geração Caixa Previsto]]+Tabela13[[#This Row],[Aporte Previsto]]</f>
        <v>117402.29069367297</v>
      </c>
      <c r="T30" s="15">
        <f t="shared" si="1"/>
        <v>131871.82595883901</v>
      </c>
      <c r="U30" s="15">
        <f t="shared" si="3"/>
        <v>207989.98970643699</v>
      </c>
      <c r="V30" s="15">
        <f t="shared" si="2"/>
        <v>37502.413104487256</v>
      </c>
      <c r="W30" s="1">
        <f>Tabela13[[#This Row],[Apto Previsto]]+Tabela13[[#This Row],[Carro Previsto]]</f>
        <v>245492.40281092425</v>
      </c>
      <c r="X30" s="1">
        <f>Tabela13[[#This Row],[ Investimento Previsto]]-Tabela13[[#This Row],[Dívidas Previsto]]+Tabela13[[#This Row],[Outros Patrimônios]]</f>
        <v>231022.8675457582</v>
      </c>
    </row>
    <row r="31" spans="1:24" x14ac:dyDescent="0.3">
      <c r="A31" s="6">
        <v>45809</v>
      </c>
      <c r="B31" s="21"/>
      <c r="C31" s="20"/>
      <c r="D31" s="7" t="str">
        <f>IF(Tabela13[[#This Row],[Despesa Realizado]]="","",Tabela13[[#This Row],[Receita Realizado]]-Tabela13[[#This Row],[Despesa Realizado]])</f>
        <v/>
      </c>
      <c r="E31" s="15"/>
      <c r="F31" s="7">
        <f>IF(Tabela13[[#This Row],[Aporte Realizado]]="",0,Tabela13[[#This Row],[Investimentos Realizado]]-I30-Tabela13[[#This Row],[Aporte Realizado]])</f>
        <v>0</v>
      </c>
      <c r="G31" s="5" t="str">
        <f>IF(Tabela13[[#This Row],[Aporte Realizado]]="","",Tabela13[[#This Row],[Rendimento Realizado R$]]/(Tabela13[[#This Row],[Investimentos Realizado]]-(Tabela13[[#This Row],[Aporte Realizado]])))</f>
        <v/>
      </c>
      <c r="H31" s="16"/>
      <c r="I31" s="17"/>
      <c r="J31" s="17"/>
      <c r="K31" s="17"/>
      <c r="L3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1" s="17">
        <v>16000</v>
      </c>
      <c r="N31" s="17">
        <v>14100</v>
      </c>
      <c r="O31" s="8">
        <f>Tabela13[[#This Row],[Receita Previsto]]-Tabela13[[#This Row],[Despesa Previsto]]</f>
        <v>1900</v>
      </c>
      <c r="P31" s="8">
        <f>Tabela13[[#This Row],[Receita Previsto]]-Tabela13[[#This Row],[Despesa Previsto]]</f>
        <v>1900</v>
      </c>
      <c r="Q31" s="7">
        <f t="shared" si="0"/>
        <v>1044.8803871736895</v>
      </c>
      <c r="R31" s="5">
        <v>8.8999999999999999E-3</v>
      </c>
      <c r="S31" s="7">
        <f>S30+Q31+Tabela13[[#This Row],[Geração Caixa Previsto]]+Tabela13[[#This Row],[Aporte Previsto]]</f>
        <v>122247.17108084666</v>
      </c>
      <c r="T31" s="15">
        <f t="shared" si="1"/>
        <v>131568.52075913368</v>
      </c>
      <c r="U31" s="15">
        <f t="shared" si="3"/>
        <v>208281.17569202601</v>
      </c>
      <c r="V31" s="15">
        <f t="shared" si="2"/>
        <v>37416.157554346937</v>
      </c>
      <c r="W31" s="1">
        <f>Tabela13[[#This Row],[Apto Previsto]]+Tabela13[[#This Row],[Carro Previsto]]</f>
        <v>245697.33324637293</v>
      </c>
      <c r="X31" s="1">
        <f>Tabela13[[#This Row],[ Investimento Previsto]]-Tabela13[[#This Row],[Dívidas Previsto]]+Tabela13[[#This Row],[Outros Patrimônios]]</f>
        <v>236375.98356808591</v>
      </c>
    </row>
    <row r="32" spans="1:24" x14ac:dyDescent="0.3">
      <c r="A32" s="6">
        <v>45839</v>
      </c>
      <c r="B32" s="21"/>
      <c r="C32" s="20"/>
      <c r="D32" s="7" t="str">
        <f>IF(Tabela13[[#This Row],[Despesa Realizado]]="","",Tabela13[[#This Row],[Receita Realizado]]-Tabela13[[#This Row],[Despesa Realizado]])</f>
        <v/>
      </c>
      <c r="E32" s="15"/>
      <c r="F32" s="7">
        <f>IF(Tabela13[[#This Row],[Aporte Realizado]]="",0,Tabela13[[#This Row],[Investimentos Realizado]]-I31-Tabela13[[#This Row],[Aporte Realizado]])</f>
        <v>0</v>
      </c>
      <c r="G32" s="5" t="str">
        <f>IF(Tabela13[[#This Row],[Aporte Realizado]]="","",Tabela13[[#This Row],[Rendimento Realizado R$]]/(Tabela13[[#This Row],[Investimentos Realizado]]-(Tabela13[[#This Row],[Aporte Realizado]])))</f>
        <v/>
      </c>
      <c r="H32" s="16"/>
      <c r="I32" s="17"/>
      <c r="J32" s="17"/>
      <c r="K32" s="17"/>
      <c r="L3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2" s="17">
        <v>16000</v>
      </c>
      <c r="N32" s="17">
        <v>14100</v>
      </c>
      <c r="O32" s="8">
        <f>Tabela13[[#This Row],[Receita Previsto]]-Tabela13[[#This Row],[Despesa Previsto]]</f>
        <v>1900</v>
      </c>
      <c r="P32" s="8">
        <f>Tabela13[[#This Row],[Receita Previsto]]-Tabela13[[#This Row],[Despesa Previsto]]</f>
        <v>1900</v>
      </c>
      <c r="Q32" s="7">
        <f t="shared" si="0"/>
        <v>1087.9998226195353</v>
      </c>
      <c r="R32" s="5">
        <v>8.8999999999999999E-3</v>
      </c>
      <c r="S32" s="7">
        <f>S31+Q32+Tabela13[[#This Row],[Geração Caixa Previsto]]+Tabela13[[#This Row],[Aporte Previsto]]</f>
        <v>127135.17090346619</v>
      </c>
      <c r="T32" s="15">
        <f t="shared" si="1"/>
        <v>131265.91316138767</v>
      </c>
      <c r="U32" s="15">
        <f t="shared" si="3"/>
        <v>208572.76933799486</v>
      </c>
      <c r="V32" s="15">
        <f t="shared" si="2"/>
        <v>37330.100391971937</v>
      </c>
      <c r="W32" s="1">
        <f>Tabela13[[#This Row],[Apto Previsto]]+Tabela13[[#This Row],[Carro Previsto]]</f>
        <v>245902.8697299668</v>
      </c>
      <c r="X32" s="1">
        <f>Tabela13[[#This Row],[ Investimento Previsto]]-Tabela13[[#This Row],[Dívidas Previsto]]+Tabela13[[#This Row],[Outros Patrimônios]]</f>
        <v>241772.12747204531</v>
      </c>
    </row>
    <row r="33" spans="1:24" x14ac:dyDescent="0.3">
      <c r="A33" s="6">
        <v>45870</v>
      </c>
      <c r="B33" s="21"/>
      <c r="C33" s="20"/>
      <c r="D33" s="7" t="str">
        <f>IF(Tabela13[[#This Row],[Despesa Realizado]]="","",Tabela13[[#This Row],[Receita Realizado]]-Tabela13[[#This Row],[Despesa Realizado]])</f>
        <v/>
      </c>
      <c r="E33" s="15"/>
      <c r="F33" s="7">
        <f>IF(Tabela13[[#This Row],[Aporte Realizado]]="",0,Tabela13[[#This Row],[Investimentos Realizado]]-I32-Tabela13[[#This Row],[Aporte Realizado]])</f>
        <v>0</v>
      </c>
      <c r="G33" s="5" t="str">
        <f>IF(Tabela13[[#This Row],[Aporte Realizado]]="","",Tabela13[[#This Row],[Rendimento Realizado R$]]/(Tabela13[[#This Row],[Investimentos Realizado]]-(Tabela13[[#This Row],[Aporte Realizado]])))</f>
        <v/>
      </c>
      <c r="H33" s="16"/>
      <c r="I33" s="17"/>
      <c r="J33" s="17"/>
      <c r="K33" s="17"/>
      <c r="L3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3" s="17">
        <v>16000</v>
      </c>
      <c r="N33" s="17">
        <v>14100</v>
      </c>
      <c r="O33" s="8">
        <f>Tabela13[[#This Row],[Receita Previsto]]-Tabela13[[#This Row],[Despesa Previsto]]</f>
        <v>1900</v>
      </c>
      <c r="P33" s="8">
        <f>Tabela13[[#This Row],[Receita Previsto]]-Tabela13[[#This Row],[Despesa Previsto]]</f>
        <v>1900</v>
      </c>
      <c r="Q33" s="7">
        <f t="shared" si="0"/>
        <v>1131.503021040849</v>
      </c>
      <c r="R33" s="5">
        <v>8.8999999999999999E-3</v>
      </c>
      <c r="S33" s="7">
        <f>S32+Q33+Tabela13[[#This Row],[Geração Caixa Previsto]]+Tabela13[[#This Row],[Aporte Previsto]]</f>
        <v>132066.67392450705</v>
      </c>
      <c r="T33" s="15">
        <f t="shared" si="1"/>
        <v>130964.00156111649</v>
      </c>
      <c r="U33" s="15">
        <f t="shared" si="3"/>
        <v>208864.77121506806</v>
      </c>
      <c r="V33" s="15">
        <f t="shared" si="2"/>
        <v>37244.2411610704</v>
      </c>
      <c r="W33" s="1">
        <f>Tabela13[[#This Row],[Apto Previsto]]+Tabela13[[#This Row],[Carro Previsto]]</f>
        <v>246109.01237613847</v>
      </c>
      <c r="X33" s="1">
        <f>Tabela13[[#This Row],[ Investimento Previsto]]-Tabela13[[#This Row],[Dívidas Previsto]]+Tabela13[[#This Row],[Outros Patrimônios]]</f>
        <v>247211.68473952904</v>
      </c>
    </row>
    <row r="34" spans="1:24" x14ac:dyDescent="0.3">
      <c r="A34" s="6">
        <v>45901</v>
      </c>
      <c r="B34" s="21"/>
      <c r="C34" s="20"/>
      <c r="D34" s="7" t="str">
        <f>IF(Tabela13[[#This Row],[Despesa Realizado]]="","",Tabela13[[#This Row],[Receita Realizado]]-Tabela13[[#This Row],[Despesa Realizado]])</f>
        <v/>
      </c>
      <c r="E34" s="15"/>
      <c r="F34" s="7">
        <f>IF(Tabela13[[#This Row],[Aporte Realizado]]="",0,Tabela13[[#This Row],[Investimentos Realizado]]-I33-Tabela13[[#This Row],[Aporte Realizado]])</f>
        <v>0</v>
      </c>
      <c r="G34" s="5" t="str">
        <f>IF(Tabela13[[#This Row],[Aporte Realizado]]="","",Tabela13[[#This Row],[Rendimento Realizado R$]]/(Tabela13[[#This Row],[Investimentos Realizado]]-(Tabela13[[#This Row],[Aporte Realizado]])))</f>
        <v/>
      </c>
      <c r="H34" s="16"/>
      <c r="I34" s="17"/>
      <c r="J34" s="17"/>
      <c r="K34" s="17"/>
      <c r="L3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4" s="17">
        <v>16000</v>
      </c>
      <c r="N34" s="17">
        <v>14100</v>
      </c>
      <c r="O34" s="8">
        <f>Tabela13[[#This Row],[Receita Previsto]]-Tabela13[[#This Row],[Despesa Previsto]]</f>
        <v>1900</v>
      </c>
      <c r="P34" s="8">
        <f>Tabela13[[#This Row],[Receita Previsto]]-Tabela13[[#This Row],[Despesa Previsto]]</f>
        <v>1900</v>
      </c>
      <c r="Q34" s="7">
        <f t="shared" si="0"/>
        <v>1175.3933979281128</v>
      </c>
      <c r="R34" s="5">
        <v>8.8999999999999999E-3</v>
      </c>
      <c r="S34" s="7">
        <f>S33+Q34+Tabela13[[#This Row],[Geração Caixa Previsto]]+Tabela13[[#This Row],[Aporte Previsto]]</f>
        <v>137042.06732243515</v>
      </c>
      <c r="T34" s="15">
        <f t="shared" si="1"/>
        <v>130662.78435752592</v>
      </c>
      <c r="U34" s="15">
        <f t="shared" si="3"/>
        <v>209157.18189476916</v>
      </c>
      <c r="V34" s="15">
        <f t="shared" si="2"/>
        <v>37158.579406399942</v>
      </c>
      <c r="W34" s="1">
        <f>Tabela13[[#This Row],[Apto Previsto]]+Tabela13[[#This Row],[Carro Previsto]]</f>
        <v>246315.76130116911</v>
      </c>
      <c r="X34" s="1">
        <f>Tabela13[[#This Row],[ Investimento Previsto]]-Tabela13[[#This Row],[Dívidas Previsto]]+Tabela13[[#This Row],[Outros Patrimônios]]</f>
        <v>252695.04426607833</v>
      </c>
    </row>
    <row r="35" spans="1:24" x14ac:dyDescent="0.3">
      <c r="A35" s="6">
        <v>45931</v>
      </c>
      <c r="B35" s="21"/>
      <c r="C35" s="20"/>
      <c r="D35" s="7" t="str">
        <f>IF(Tabela13[[#This Row],[Despesa Realizado]]="","",Tabela13[[#This Row],[Receita Realizado]]-Tabela13[[#This Row],[Despesa Realizado]])</f>
        <v/>
      </c>
      <c r="E35" s="15"/>
      <c r="F35" s="7">
        <f>IF(Tabela13[[#This Row],[Aporte Realizado]]="",0,Tabela13[[#This Row],[Investimentos Realizado]]-I34-Tabela13[[#This Row],[Aporte Realizado]])</f>
        <v>0</v>
      </c>
      <c r="G35" s="5" t="str">
        <f>IF(Tabela13[[#This Row],[Aporte Realizado]]="","",Tabela13[[#This Row],[Rendimento Realizado R$]]/(Tabela13[[#This Row],[Investimentos Realizado]]-(Tabela13[[#This Row],[Aporte Realizado]])))</f>
        <v/>
      </c>
      <c r="H35" s="16"/>
      <c r="I35" s="17"/>
      <c r="J35" s="17"/>
      <c r="K35" s="17"/>
      <c r="L3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5" s="17">
        <v>16000</v>
      </c>
      <c r="N35" s="17">
        <v>14100</v>
      </c>
      <c r="O35" s="8">
        <f>Tabela13[[#This Row],[Receita Previsto]]-Tabela13[[#This Row],[Despesa Previsto]]</f>
        <v>1900</v>
      </c>
      <c r="P35" s="8">
        <f>Tabela13[[#This Row],[Receita Previsto]]-Tabela13[[#This Row],[Despesa Previsto]]</f>
        <v>1900</v>
      </c>
      <c r="Q35" s="7">
        <f t="shared" ref="Q35:Q66" si="4">S34*R35</f>
        <v>1219.6743991696728</v>
      </c>
      <c r="R35" s="5">
        <v>8.8999999999999999E-3</v>
      </c>
      <c r="S35" s="7">
        <f>S34+Q35+Tabela13[[#This Row],[Geração Caixa Previsto]]+Tabela13[[#This Row],[Aporte Previsto]]</f>
        <v>142061.74172160483</v>
      </c>
      <c r="T35" s="15">
        <f t="shared" si="1"/>
        <v>130362.25995350361</v>
      </c>
      <c r="U35" s="15">
        <f t="shared" si="3"/>
        <v>209450.00194942186</v>
      </c>
      <c r="V35" s="15">
        <f t="shared" si="2"/>
        <v>37073.114673765223</v>
      </c>
      <c r="W35" s="1">
        <f>Tabela13[[#This Row],[Apto Previsto]]+Tabela13[[#This Row],[Carro Previsto]]</f>
        <v>246523.11662318709</v>
      </c>
      <c r="X35" s="1">
        <f>Tabela13[[#This Row],[ Investimento Previsto]]-Tabela13[[#This Row],[Dívidas Previsto]]+Tabela13[[#This Row],[Outros Patrimônios]]</f>
        <v>258222.59839128831</v>
      </c>
    </row>
    <row r="36" spans="1:24" x14ac:dyDescent="0.3">
      <c r="A36" s="6">
        <v>45962</v>
      </c>
      <c r="B36" s="21"/>
      <c r="C36" s="20"/>
      <c r="D36" s="7" t="str">
        <f>IF(Tabela13[[#This Row],[Despesa Realizado]]="","",Tabela13[[#This Row],[Receita Realizado]]-Tabela13[[#This Row],[Despesa Realizado]])</f>
        <v/>
      </c>
      <c r="E36" s="15"/>
      <c r="F36" s="7">
        <f>IF(Tabela13[[#This Row],[Aporte Realizado]]="",0,Tabela13[[#This Row],[Investimentos Realizado]]-I35-Tabela13[[#This Row],[Aporte Realizado]])</f>
        <v>0</v>
      </c>
      <c r="G36" s="5" t="str">
        <f>IF(Tabela13[[#This Row],[Aporte Realizado]]="","",Tabela13[[#This Row],[Rendimento Realizado R$]]/(Tabela13[[#This Row],[Investimentos Realizado]]-(Tabela13[[#This Row],[Aporte Realizado]])))</f>
        <v/>
      </c>
      <c r="H36" s="16"/>
      <c r="I36" s="17"/>
      <c r="J36" s="17"/>
      <c r="K36" s="17"/>
      <c r="L3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6" s="17">
        <v>16000</v>
      </c>
      <c r="N36" s="17">
        <v>14100</v>
      </c>
      <c r="O36" s="8">
        <f>Tabela13[[#This Row],[Receita Previsto]]-Tabela13[[#This Row],[Despesa Previsto]]</f>
        <v>1900</v>
      </c>
      <c r="P36" s="8">
        <f>Tabela13[[#This Row],[Receita Previsto]]-Tabela13[[#This Row],[Despesa Previsto]]</f>
        <v>1900</v>
      </c>
      <c r="Q36" s="7">
        <f t="shared" si="4"/>
        <v>1264.349501322283</v>
      </c>
      <c r="R36" s="5">
        <v>8.8999999999999999E-3</v>
      </c>
      <c r="S36" s="7">
        <f>S35+Q36+Tabela13[[#This Row],[Geração Caixa Previsto]]+Tabela13[[#This Row],[Aporte Previsto]]</f>
        <v>147126.09122292712</v>
      </c>
      <c r="T36" s="15">
        <f t="shared" si="1"/>
        <v>130062.42675561056</v>
      </c>
      <c r="U36" s="15">
        <f t="shared" si="3"/>
        <v>209743.23195215105</v>
      </c>
      <c r="V36" s="15">
        <f t="shared" si="2"/>
        <v>36987.846510015566</v>
      </c>
      <c r="W36" s="1">
        <f>Tabela13[[#This Row],[Apto Previsto]]+Tabela13[[#This Row],[Carro Previsto]]</f>
        <v>246731.07846216662</v>
      </c>
      <c r="X36" s="1">
        <f>Tabela13[[#This Row],[ Investimento Previsto]]-Tabela13[[#This Row],[Dívidas Previsto]]+Tabela13[[#This Row],[Outros Patrimônios]]</f>
        <v>263794.74292948318</v>
      </c>
    </row>
    <row r="37" spans="1:24" x14ac:dyDescent="0.3">
      <c r="A37" s="6">
        <v>45992</v>
      </c>
      <c r="B37" s="21"/>
      <c r="C37" s="20"/>
      <c r="D37" s="7" t="str">
        <f>IF(Tabela13[[#This Row],[Despesa Realizado]]="","",Tabela13[[#This Row],[Receita Realizado]]-Tabela13[[#This Row],[Despesa Realizado]])</f>
        <v/>
      </c>
      <c r="E37" s="15"/>
      <c r="F37" s="7">
        <f>IF(Tabela13[[#This Row],[Aporte Realizado]]="",0,Tabela13[[#This Row],[Investimentos Realizado]]-I36-Tabela13[[#This Row],[Aporte Realizado]])</f>
        <v>0</v>
      </c>
      <c r="G37" s="5" t="str">
        <f>IF(Tabela13[[#This Row],[Aporte Realizado]]="","",Tabela13[[#This Row],[Rendimento Realizado R$]]/(Tabela13[[#This Row],[Investimentos Realizado]]-(Tabela13[[#This Row],[Aporte Realizado]])))</f>
        <v/>
      </c>
      <c r="H37" s="16"/>
      <c r="I37" s="17"/>
      <c r="J37" s="17"/>
      <c r="K37" s="17"/>
      <c r="L3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7" s="17">
        <v>16000</v>
      </c>
      <c r="N37" s="17">
        <v>14100</v>
      </c>
      <c r="O37" s="8">
        <f>Tabela13[[#This Row],[Receita Previsto]]-Tabela13[[#This Row],[Despesa Previsto]]</f>
        <v>1900</v>
      </c>
      <c r="P37" s="8">
        <f>Tabela13[[#This Row],[Receita Previsto]]-Tabela13[[#This Row],[Despesa Previsto]]</f>
        <v>1900</v>
      </c>
      <c r="Q37" s="7">
        <f t="shared" si="4"/>
        <v>1309.4222118840514</v>
      </c>
      <c r="R37" s="5">
        <v>8.8999999999999999E-3</v>
      </c>
      <c r="S37" s="7">
        <f>S36+Q37+Tabela13[[#This Row],[Geração Caixa Previsto]]+Tabela13[[#This Row],[Aporte Previsto]]</f>
        <v>152235.51343481118</v>
      </c>
      <c r="T37" s="15">
        <f t="shared" si="1"/>
        <v>129763.28317407267</v>
      </c>
      <c r="U37" s="15">
        <f t="shared" si="3"/>
        <v>210036.87247688408</v>
      </c>
      <c r="V37" s="15">
        <f t="shared" si="2"/>
        <v>36902.77446304253</v>
      </c>
      <c r="W37" s="1">
        <f>Tabela13[[#This Row],[Apto Previsto]]+Tabela13[[#This Row],[Carro Previsto]]</f>
        <v>246939.64693992661</v>
      </c>
      <c r="X37" s="1">
        <f>Tabela13[[#This Row],[ Investimento Previsto]]-Tabela13[[#This Row],[Dívidas Previsto]]+Tabela13[[#This Row],[Outros Patrimônios]]</f>
        <v>269411.87720066513</v>
      </c>
    </row>
    <row r="38" spans="1:24" x14ac:dyDescent="0.3">
      <c r="A38" s="6">
        <v>46023</v>
      </c>
      <c r="B38" s="21"/>
      <c r="C38" s="20"/>
      <c r="D38" s="7" t="str">
        <f>IF(Tabela13[[#This Row],[Despesa Realizado]]="","",Tabela13[[#This Row],[Receita Realizado]]-Tabela13[[#This Row],[Despesa Realizado]])</f>
        <v/>
      </c>
      <c r="E38" s="15"/>
      <c r="F38" s="7">
        <f>IF(Tabela13[[#This Row],[Aporte Realizado]]="",0,Tabela13[[#This Row],[Investimentos Realizado]]-I37-Tabela13[[#This Row],[Aporte Realizado]])</f>
        <v>0</v>
      </c>
      <c r="G38" s="5" t="str">
        <f>IF(Tabela13[[#This Row],[Aporte Realizado]]="","",Tabela13[[#This Row],[Rendimento Realizado R$]]/(Tabela13[[#This Row],[Investimentos Realizado]]-(Tabela13[[#This Row],[Aporte Realizado]])))</f>
        <v/>
      </c>
      <c r="H38" s="16"/>
      <c r="I38" s="17"/>
      <c r="J38" s="17"/>
      <c r="K38" s="17"/>
      <c r="L3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8" s="17">
        <v>16500</v>
      </c>
      <c r="N38" s="17">
        <v>14500</v>
      </c>
      <c r="O38" s="8">
        <f>Tabela13[[#This Row],[Receita Previsto]]-Tabela13[[#This Row],[Despesa Previsto]]</f>
        <v>2000</v>
      </c>
      <c r="P38" s="8">
        <f>Tabela13[[#This Row],[Receita Previsto]]-Tabela13[[#This Row],[Despesa Previsto]]</f>
        <v>2000</v>
      </c>
      <c r="Q38" s="7">
        <f t="shared" si="4"/>
        <v>1354.8960695698195</v>
      </c>
      <c r="R38" s="5">
        <v>8.8999999999999999E-3</v>
      </c>
      <c r="S38" s="7">
        <f>S37+Q38+Tabela13[[#This Row],[Geração Caixa Previsto]]+Tabela13[[#This Row],[Aporte Previsto]]</f>
        <v>157590.40950438101</v>
      </c>
      <c r="T38" s="15">
        <f t="shared" si="1"/>
        <v>129464.82762277231</v>
      </c>
      <c r="U38" s="15">
        <f t="shared" si="3"/>
        <v>210330.92409835174</v>
      </c>
      <c r="V38" s="15">
        <f t="shared" si="2"/>
        <v>36817.89808177753</v>
      </c>
      <c r="W38" s="1">
        <f>Tabela13[[#This Row],[Apto Previsto]]+Tabela13[[#This Row],[Carro Previsto]]</f>
        <v>247148.82218012927</v>
      </c>
      <c r="X38" s="1">
        <f>Tabela13[[#This Row],[ Investimento Previsto]]-Tabela13[[#This Row],[Dívidas Previsto]]+Tabela13[[#This Row],[Outros Patrimônios]]</f>
        <v>275274.40406173794</v>
      </c>
    </row>
    <row r="39" spans="1:24" x14ac:dyDescent="0.3">
      <c r="A39" s="6">
        <v>46054</v>
      </c>
      <c r="B39" s="21"/>
      <c r="C39" s="20"/>
      <c r="D39" s="7" t="str">
        <f>IF(Tabela13[[#This Row],[Despesa Realizado]]="","",Tabela13[[#This Row],[Receita Realizado]]-Tabela13[[#This Row],[Despesa Realizado]])</f>
        <v/>
      </c>
      <c r="E39" s="15"/>
      <c r="F39" s="7">
        <f>IF(Tabela13[[#This Row],[Aporte Realizado]]="",0,Tabela13[[#This Row],[Investimentos Realizado]]-I38-Tabela13[[#This Row],[Aporte Realizado]])</f>
        <v>0</v>
      </c>
      <c r="G39" s="5" t="str">
        <f>IF(Tabela13[[#This Row],[Aporte Realizado]]="","",Tabela13[[#This Row],[Rendimento Realizado R$]]/(Tabela13[[#This Row],[Investimentos Realizado]]-(Tabela13[[#This Row],[Aporte Realizado]])))</f>
        <v/>
      </c>
      <c r="H39" s="16"/>
      <c r="I39" s="17"/>
      <c r="J39" s="17"/>
      <c r="K39" s="17"/>
      <c r="L3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39" s="17">
        <v>16500</v>
      </c>
      <c r="N39" s="17">
        <v>14500</v>
      </c>
      <c r="O39" s="8">
        <f>Tabela13[[#This Row],[Receita Previsto]]-Tabela13[[#This Row],[Despesa Previsto]]</f>
        <v>2000</v>
      </c>
      <c r="P39" s="8">
        <f>Tabela13[[#This Row],[Receita Previsto]]-Tabela13[[#This Row],[Despesa Previsto]]</f>
        <v>2000</v>
      </c>
      <c r="Q39" s="7">
        <f t="shared" si="4"/>
        <v>1402.5546445889909</v>
      </c>
      <c r="R39" s="5">
        <v>8.8999999999999999E-3</v>
      </c>
      <c r="S39" s="7">
        <f>S38+Q39+Tabela13[[#This Row],[Geração Caixa Previsto]]+Tabela13[[#This Row],[Aporte Previsto]]</f>
        <v>162992.96414897</v>
      </c>
      <c r="T39" s="15">
        <f t="shared" si="1"/>
        <v>129167.05851923994</v>
      </c>
      <c r="U39" s="15">
        <f t="shared" si="3"/>
        <v>210625.38739208944</v>
      </c>
      <c r="V39" s="15">
        <f t="shared" si="2"/>
        <v>36733.216916189442</v>
      </c>
      <c r="W39" s="1">
        <f>Tabela13[[#This Row],[Apto Previsto]]+Tabela13[[#This Row],[Carro Previsto]]</f>
        <v>247358.60430827888</v>
      </c>
      <c r="X39" s="1">
        <f>Tabela13[[#This Row],[ Investimento Previsto]]-Tabela13[[#This Row],[Dívidas Previsto]]+Tabela13[[#This Row],[Outros Patrimônios]]</f>
        <v>281184.50993800897</v>
      </c>
    </row>
    <row r="40" spans="1:24" x14ac:dyDescent="0.3">
      <c r="A40" s="6">
        <v>46082</v>
      </c>
      <c r="B40" s="21"/>
      <c r="C40" s="20"/>
      <c r="D40" s="7" t="str">
        <f>IF(Tabela13[[#This Row],[Despesa Realizado]]="","",Tabela13[[#This Row],[Receita Realizado]]-Tabela13[[#This Row],[Despesa Realizado]])</f>
        <v/>
      </c>
      <c r="E40" s="15"/>
      <c r="F40" s="7">
        <f>IF(Tabela13[[#This Row],[Aporte Realizado]]="",0,Tabela13[[#This Row],[Investimentos Realizado]]-I39-Tabela13[[#This Row],[Aporte Realizado]])</f>
        <v>0</v>
      </c>
      <c r="G40" s="5" t="str">
        <f>IF(Tabela13[[#This Row],[Aporte Realizado]]="","",Tabela13[[#This Row],[Rendimento Realizado R$]]/(Tabela13[[#This Row],[Investimentos Realizado]]-(Tabela13[[#This Row],[Aporte Realizado]])))</f>
        <v/>
      </c>
      <c r="H40" s="16"/>
      <c r="I40" s="17"/>
      <c r="J40" s="17"/>
      <c r="K40" s="17"/>
      <c r="L4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0" s="17">
        <v>16500</v>
      </c>
      <c r="N40" s="17">
        <v>14500</v>
      </c>
      <c r="O40" s="8">
        <f>Tabela13[[#This Row],[Receita Previsto]]-Tabela13[[#This Row],[Despesa Previsto]]</f>
        <v>2000</v>
      </c>
      <c r="P40" s="8">
        <f>Tabela13[[#This Row],[Receita Previsto]]-Tabela13[[#This Row],[Despesa Previsto]]</f>
        <v>2000</v>
      </c>
      <c r="Q40" s="7">
        <f t="shared" si="4"/>
        <v>1450.637380925833</v>
      </c>
      <c r="R40" s="5">
        <v>8.8999999999999999E-3</v>
      </c>
      <c r="S40" s="7">
        <f>S39+Q40+Tabela13[[#This Row],[Geração Caixa Previsto]]+Tabela13[[#This Row],[Aporte Previsto]]</f>
        <v>168443.60152989582</v>
      </c>
      <c r="T40" s="15">
        <f t="shared" si="1"/>
        <v>128869.97428464569</v>
      </c>
      <c r="U40" s="15">
        <f t="shared" si="3"/>
        <v>210920.26293443839</v>
      </c>
      <c r="V40" s="15">
        <f t="shared" si="2"/>
        <v>36648.730517282209</v>
      </c>
      <c r="W40" s="1">
        <f>Tabela13[[#This Row],[Apto Previsto]]+Tabela13[[#This Row],[Carro Previsto]]</f>
        <v>247568.9934517206</v>
      </c>
      <c r="X40" s="1">
        <f>Tabela13[[#This Row],[ Investimento Previsto]]-Tabela13[[#This Row],[Dívidas Previsto]]+Tabela13[[#This Row],[Outros Patrimônios]]</f>
        <v>287142.62069697073</v>
      </c>
    </row>
    <row r="41" spans="1:24" x14ac:dyDescent="0.3">
      <c r="A41" s="6">
        <v>46113</v>
      </c>
      <c r="B41" s="21"/>
      <c r="C41" s="20"/>
      <c r="D41" s="7" t="str">
        <f>IF(Tabela13[[#This Row],[Despesa Realizado]]="","",Tabela13[[#This Row],[Receita Realizado]]-Tabela13[[#This Row],[Despesa Realizado]])</f>
        <v/>
      </c>
      <c r="E41" s="15"/>
      <c r="F41" s="7">
        <f>IF(Tabela13[[#This Row],[Aporte Realizado]]="",0,Tabela13[[#This Row],[Investimentos Realizado]]-I40-Tabela13[[#This Row],[Aporte Realizado]])</f>
        <v>0</v>
      </c>
      <c r="G41" s="5" t="str">
        <f>IF(Tabela13[[#This Row],[Aporte Realizado]]="","",Tabela13[[#This Row],[Rendimento Realizado R$]]/(Tabela13[[#This Row],[Investimentos Realizado]]-(Tabela13[[#This Row],[Aporte Realizado]])))</f>
        <v/>
      </c>
      <c r="H41" s="16"/>
      <c r="I41" s="17"/>
      <c r="J41" s="17"/>
      <c r="K41" s="17"/>
      <c r="L4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1" s="17">
        <v>16500</v>
      </c>
      <c r="N41" s="17">
        <v>14500</v>
      </c>
      <c r="O41" s="8">
        <f>Tabela13[[#This Row],[Receita Previsto]]-Tabela13[[#This Row],[Despesa Previsto]]</f>
        <v>2000</v>
      </c>
      <c r="P41" s="8">
        <f>Tabela13[[#This Row],[Receita Previsto]]-Tabela13[[#This Row],[Despesa Previsto]]</f>
        <v>2000</v>
      </c>
      <c r="Q41" s="7">
        <f t="shared" si="4"/>
        <v>1499.1480536160727</v>
      </c>
      <c r="R41" s="5">
        <v>8.8999999999999999E-3</v>
      </c>
      <c r="S41" s="7">
        <f>S40+Q41+Tabela13[[#This Row],[Geração Caixa Previsto]]+Tabela13[[#This Row],[Aporte Previsto]]</f>
        <v>173942.7495835119</v>
      </c>
      <c r="T41" s="15">
        <f t="shared" si="1"/>
        <v>128573.57334379101</v>
      </c>
      <c r="U41" s="15">
        <f t="shared" si="3"/>
        <v>211215.55130254661</v>
      </c>
      <c r="V41" s="15">
        <f t="shared" si="2"/>
        <v>36564.43843709246</v>
      </c>
      <c r="W41" s="1">
        <f>Tabela13[[#This Row],[Apto Previsto]]+Tabela13[[#This Row],[Carro Previsto]]</f>
        <v>247779.98973963907</v>
      </c>
      <c r="X41" s="1">
        <f>Tabela13[[#This Row],[ Investimento Previsto]]-Tabela13[[#This Row],[Dívidas Previsto]]+Tabela13[[#This Row],[Outros Patrimônios]]</f>
        <v>293149.16597936</v>
      </c>
    </row>
    <row r="42" spans="1:24" x14ac:dyDescent="0.3">
      <c r="A42" s="6">
        <v>46143</v>
      </c>
      <c r="B42" s="21"/>
      <c r="C42" s="20"/>
      <c r="D42" s="7" t="str">
        <f>IF(Tabela13[[#This Row],[Despesa Realizado]]="","",Tabela13[[#This Row],[Receita Realizado]]-Tabela13[[#This Row],[Despesa Realizado]])</f>
        <v/>
      </c>
      <c r="E42" s="15"/>
      <c r="F42" s="7">
        <f>IF(Tabela13[[#This Row],[Aporte Realizado]]="",0,Tabela13[[#This Row],[Investimentos Realizado]]-I41-Tabela13[[#This Row],[Aporte Realizado]])</f>
        <v>0</v>
      </c>
      <c r="G42" s="5" t="str">
        <f>IF(Tabela13[[#This Row],[Aporte Realizado]]="","",Tabela13[[#This Row],[Rendimento Realizado R$]]/(Tabela13[[#This Row],[Investimentos Realizado]]-(Tabela13[[#This Row],[Aporte Realizado]])))</f>
        <v/>
      </c>
      <c r="H42" s="16"/>
      <c r="I42" s="17"/>
      <c r="J42" s="17"/>
      <c r="K42" s="17"/>
      <c r="L4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2" s="17">
        <v>16500</v>
      </c>
      <c r="N42" s="17">
        <v>14500</v>
      </c>
      <c r="O42" s="8">
        <f>Tabela13[[#This Row],[Receita Previsto]]-Tabela13[[#This Row],[Despesa Previsto]]</f>
        <v>2000</v>
      </c>
      <c r="P42" s="8">
        <f>Tabela13[[#This Row],[Receita Previsto]]-Tabela13[[#This Row],[Despesa Previsto]]</f>
        <v>2000</v>
      </c>
      <c r="Q42" s="7">
        <f t="shared" si="4"/>
        <v>1548.0904712932559</v>
      </c>
      <c r="R42" s="5">
        <v>8.8999999999999999E-3</v>
      </c>
      <c r="S42" s="7">
        <f>S41+Q42+Tabela13[[#This Row],[Geração Caixa Previsto]]+Tabela13[[#This Row],[Aporte Previsto]]</f>
        <v>179490.84005480516</v>
      </c>
      <c r="T42" s="15">
        <f t="shared" si="1"/>
        <v>128277.85412510029</v>
      </c>
      <c r="U42" s="15">
        <f t="shared" si="3"/>
        <v>211511.25307437018</v>
      </c>
      <c r="V42" s="15">
        <f t="shared" si="2"/>
        <v>36480.34022868715</v>
      </c>
      <c r="W42" s="1">
        <f>Tabela13[[#This Row],[Apto Previsto]]+Tabela13[[#This Row],[Carro Previsto]]</f>
        <v>247991.59330305734</v>
      </c>
      <c r="X42" s="1">
        <f>Tabela13[[#This Row],[ Investimento Previsto]]-Tabela13[[#This Row],[Dívidas Previsto]]+Tabela13[[#This Row],[Outros Patrimônios]]</f>
        <v>299204.57923276222</v>
      </c>
    </row>
    <row r="43" spans="1:24" x14ac:dyDescent="0.3">
      <c r="A43" s="6">
        <v>46174</v>
      </c>
      <c r="B43" s="21"/>
      <c r="C43" s="20"/>
      <c r="D43" s="7" t="str">
        <f>IF(Tabela13[[#This Row],[Despesa Realizado]]="","",Tabela13[[#This Row],[Receita Realizado]]-Tabela13[[#This Row],[Despesa Realizado]])</f>
        <v/>
      </c>
      <c r="E43" s="15"/>
      <c r="F43" s="7">
        <f>IF(Tabela13[[#This Row],[Aporte Realizado]]="",0,Tabela13[[#This Row],[Investimentos Realizado]]-I42-Tabela13[[#This Row],[Aporte Realizado]])</f>
        <v>0</v>
      </c>
      <c r="G43" s="5" t="str">
        <f>IF(Tabela13[[#This Row],[Aporte Realizado]]="","",Tabela13[[#This Row],[Rendimento Realizado R$]]/(Tabela13[[#This Row],[Investimentos Realizado]]-(Tabela13[[#This Row],[Aporte Realizado]])))</f>
        <v/>
      </c>
      <c r="H43" s="16"/>
      <c r="I43" s="17"/>
      <c r="J43" s="17"/>
      <c r="K43" s="17"/>
      <c r="L4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3" s="17">
        <v>16500</v>
      </c>
      <c r="N43" s="17">
        <v>14500</v>
      </c>
      <c r="O43" s="8">
        <f>Tabela13[[#This Row],[Receita Previsto]]-Tabela13[[#This Row],[Despesa Previsto]]</f>
        <v>2000</v>
      </c>
      <c r="P43" s="8">
        <f>Tabela13[[#This Row],[Receita Previsto]]-Tabela13[[#This Row],[Despesa Previsto]]</f>
        <v>2000</v>
      </c>
      <c r="Q43" s="7">
        <f t="shared" si="4"/>
        <v>1597.4684764877659</v>
      </c>
      <c r="R43" s="5">
        <v>8.8999999999999999E-3</v>
      </c>
      <c r="S43" s="7">
        <f>S42+Q43+Tabela13[[#This Row],[Geração Caixa Previsto]]+Tabela13[[#This Row],[Aporte Previsto]]</f>
        <v>185088.30853129292</v>
      </c>
      <c r="T43" s="15">
        <f t="shared" si="1"/>
        <v>127982.81506061256</v>
      </c>
      <c r="U43" s="15">
        <f t="shared" si="3"/>
        <v>211807.36882867431</v>
      </c>
      <c r="V43" s="15">
        <f t="shared" si="2"/>
        <v>36396.435446161173</v>
      </c>
      <c r="W43" s="1">
        <f>Tabela13[[#This Row],[Apto Previsto]]+Tabela13[[#This Row],[Carro Previsto]]</f>
        <v>248203.80427483548</v>
      </c>
      <c r="X43" s="1">
        <f>Tabela13[[#This Row],[ Investimento Previsto]]-Tabela13[[#This Row],[Dívidas Previsto]]+Tabela13[[#This Row],[Outros Patrimônios]]</f>
        <v>305309.29774551583</v>
      </c>
    </row>
    <row r="44" spans="1:24" x14ac:dyDescent="0.3">
      <c r="A44" s="6">
        <v>46204</v>
      </c>
      <c r="B44" s="21"/>
      <c r="C44" s="20"/>
      <c r="D44" s="7" t="str">
        <f>IF(Tabela13[[#This Row],[Despesa Realizado]]="","",Tabela13[[#This Row],[Receita Realizado]]-Tabela13[[#This Row],[Despesa Realizado]])</f>
        <v/>
      </c>
      <c r="E44" s="15"/>
      <c r="F44" s="7">
        <f>IF(Tabela13[[#This Row],[Aporte Realizado]]="",0,Tabela13[[#This Row],[Investimentos Realizado]]-I43-Tabela13[[#This Row],[Aporte Realizado]])</f>
        <v>0</v>
      </c>
      <c r="G44" s="5" t="str">
        <f>IF(Tabela13[[#This Row],[Aporte Realizado]]="","",Tabela13[[#This Row],[Rendimento Realizado R$]]/(Tabela13[[#This Row],[Investimentos Realizado]]-(Tabela13[[#This Row],[Aporte Realizado]])))</f>
        <v/>
      </c>
      <c r="H44" s="16"/>
      <c r="I44" s="17"/>
      <c r="J44" s="17"/>
      <c r="K44" s="17"/>
      <c r="L4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4" s="17">
        <v>16500</v>
      </c>
      <c r="N44" s="17">
        <v>14500</v>
      </c>
      <c r="O44" s="8">
        <f>Tabela13[[#This Row],[Receita Previsto]]-Tabela13[[#This Row],[Despesa Previsto]]</f>
        <v>2000</v>
      </c>
      <c r="P44" s="8">
        <f>Tabela13[[#This Row],[Receita Previsto]]-Tabela13[[#This Row],[Despesa Previsto]]</f>
        <v>2000</v>
      </c>
      <c r="Q44" s="7">
        <f t="shared" si="4"/>
        <v>1647.2859459285069</v>
      </c>
      <c r="R44" s="5">
        <v>8.8999999999999999E-3</v>
      </c>
      <c r="S44" s="7">
        <f>S43+Q44+Tabela13[[#This Row],[Geração Caixa Previsto]]+Tabela13[[#This Row],[Aporte Previsto]]</f>
        <v>190735.59447722143</v>
      </c>
      <c r="T44" s="15">
        <f t="shared" si="1"/>
        <v>127688.45458597314</v>
      </c>
      <c r="U44" s="15">
        <f t="shared" si="3"/>
        <v>212103.89914503446</v>
      </c>
      <c r="V44" s="15">
        <f t="shared" si="2"/>
        <v>36312.723644635</v>
      </c>
      <c r="W44" s="1">
        <f>Tabela13[[#This Row],[Apto Previsto]]+Tabela13[[#This Row],[Carro Previsto]]</f>
        <v>248416.62278966946</v>
      </c>
      <c r="X44" s="1">
        <f>Tabela13[[#This Row],[ Investimento Previsto]]-Tabela13[[#This Row],[Dívidas Previsto]]+Tabela13[[#This Row],[Outros Patrimônios]]</f>
        <v>311463.76268091775</v>
      </c>
    </row>
    <row r="45" spans="1:24" x14ac:dyDescent="0.3">
      <c r="A45" s="6">
        <v>46235</v>
      </c>
      <c r="B45" s="21"/>
      <c r="C45" s="20"/>
      <c r="D45" s="7" t="str">
        <f>IF(Tabela13[[#This Row],[Despesa Realizado]]="","",Tabela13[[#This Row],[Receita Realizado]]-Tabela13[[#This Row],[Despesa Realizado]])</f>
        <v/>
      </c>
      <c r="E45" s="15"/>
      <c r="F45" s="7">
        <f>IF(Tabela13[[#This Row],[Aporte Realizado]]="",0,Tabela13[[#This Row],[Investimentos Realizado]]-I44-Tabela13[[#This Row],[Aporte Realizado]])</f>
        <v>0</v>
      </c>
      <c r="G45" s="5" t="str">
        <f>IF(Tabela13[[#This Row],[Aporte Realizado]]="","",Tabela13[[#This Row],[Rendimento Realizado R$]]/(Tabela13[[#This Row],[Investimentos Realizado]]-(Tabela13[[#This Row],[Aporte Realizado]])))</f>
        <v/>
      </c>
      <c r="H45" s="16"/>
      <c r="I45" s="17"/>
      <c r="J45" s="17"/>
      <c r="K45" s="17"/>
      <c r="L4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5" s="17">
        <v>16500</v>
      </c>
      <c r="N45" s="17">
        <v>14500</v>
      </c>
      <c r="O45" s="8">
        <f>Tabela13[[#This Row],[Receita Previsto]]-Tabela13[[#This Row],[Despesa Previsto]]</f>
        <v>2000</v>
      </c>
      <c r="P45" s="8">
        <f>Tabela13[[#This Row],[Receita Previsto]]-Tabela13[[#This Row],[Despesa Previsto]]</f>
        <v>2000</v>
      </c>
      <c r="Q45" s="7">
        <f t="shared" si="4"/>
        <v>1697.5467908472706</v>
      </c>
      <c r="R45" s="5">
        <v>8.8999999999999999E-3</v>
      </c>
      <c r="S45" s="7">
        <f>S44+Q45+Tabela13[[#This Row],[Geração Caixa Previsto]]+Tabela13[[#This Row],[Aporte Previsto]]</f>
        <v>196433.14126806869</v>
      </c>
      <c r="T45" s="15">
        <f t="shared" si="1"/>
        <v>127394.77114042541</v>
      </c>
      <c r="U45" s="15">
        <f t="shared" si="3"/>
        <v>212400.84460383753</v>
      </c>
      <c r="V45" s="15">
        <f t="shared" si="2"/>
        <v>36229.20438025234</v>
      </c>
      <c r="W45" s="1">
        <f>Tabela13[[#This Row],[Apto Previsto]]+Tabela13[[#This Row],[Carro Previsto]]</f>
        <v>248630.04898408987</v>
      </c>
      <c r="X45" s="1">
        <f>Tabela13[[#This Row],[ Investimento Previsto]]-Tabela13[[#This Row],[Dívidas Previsto]]+Tabela13[[#This Row],[Outros Patrimônios]]</f>
        <v>317668.41911173315</v>
      </c>
    </row>
    <row r="46" spans="1:24" x14ac:dyDescent="0.3">
      <c r="A46" s="6">
        <v>46266</v>
      </c>
      <c r="B46" s="21"/>
      <c r="C46" s="20"/>
      <c r="D46" s="7" t="str">
        <f>IF(Tabela13[[#This Row],[Despesa Realizado]]="","",Tabela13[[#This Row],[Receita Realizado]]-Tabela13[[#This Row],[Despesa Realizado]])</f>
        <v/>
      </c>
      <c r="E46" s="15"/>
      <c r="F46" s="7">
        <f>IF(Tabela13[[#This Row],[Aporte Realizado]]="",0,Tabela13[[#This Row],[Investimentos Realizado]]-I45-Tabela13[[#This Row],[Aporte Realizado]])</f>
        <v>0</v>
      </c>
      <c r="G46" s="5" t="str">
        <f>IF(Tabela13[[#This Row],[Aporte Realizado]]="","",Tabela13[[#This Row],[Rendimento Realizado R$]]/(Tabela13[[#This Row],[Investimentos Realizado]]-(Tabela13[[#This Row],[Aporte Realizado]])))</f>
        <v/>
      </c>
      <c r="H46" s="16"/>
      <c r="I46" s="17"/>
      <c r="J46" s="17"/>
      <c r="K46" s="17"/>
      <c r="L4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6" s="17">
        <v>16500</v>
      </c>
      <c r="N46" s="17">
        <v>14500</v>
      </c>
      <c r="O46" s="8">
        <f>Tabela13[[#This Row],[Receita Previsto]]-Tabela13[[#This Row],[Despesa Previsto]]</f>
        <v>2000</v>
      </c>
      <c r="P46" s="8">
        <f>Tabela13[[#This Row],[Receita Previsto]]-Tabela13[[#This Row],[Despesa Previsto]]</f>
        <v>2000</v>
      </c>
      <c r="Q46" s="7">
        <f t="shared" si="4"/>
        <v>1748.2549572858113</v>
      </c>
      <c r="R46" s="5">
        <v>8.8999999999999999E-3</v>
      </c>
      <c r="S46" s="7">
        <f>S45+Q46+Tabela13[[#This Row],[Geração Caixa Previsto]]+Tabela13[[#This Row],[Aporte Previsto]]</f>
        <v>202181.39622535449</v>
      </c>
      <c r="T46" s="15">
        <f t="shared" si="1"/>
        <v>127101.76316680244</v>
      </c>
      <c r="U46" s="15">
        <f t="shared" si="3"/>
        <v>212698.20578628292</v>
      </c>
      <c r="V46" s="15">
        <f t="shared" si="2"/>
        <v>36145.877210177758</v>
      </c>
      <c r="W46" s="1">
        <f>Tabela13[[#This Row],[Apto Previsto]]+Tabela13[[#This Row],[Carro Previsto]]</f>
        <v>248844.08299646067</v>
      </c>
      <c r="X46" s="1">
        <f>Tabela13[[#This Row],[ Investimento Previsto]]-Tabela13[[#This Row],[Dívidas Previsto]]+Tabela13[[#This Row],[Outros Patrimônios]]</f>
        <v>323923.71605501272</v>
      </c>
    </row>
    <row r="47" spans="1:24" x14ac:dyDescent="0.3">
      <c r="A47" s="6">
        <v>46296</v>
      </c>
      <c r="B47" s="21"/>
      <c r="C47" s="20"/>
      <c r="D47" s="7" t="str">
        <f>IF(Tabela13[[#This Row],[Despesa Realizado]]="","",Tabela13[[#This Row],[Receita Realizado]]-Tabela13[[#This Row],[Despesa Realizado]])</f>
        <v/>
      </c>
      <c r="E47" s="15"/>
      <c r="F47" s="7">
        <f>IF(Tabela13[[#This Row],[Aporte Realizado]]="",0,Tabela13[[#This Row],[Investimentos Realizado]]-I46-Tabela13[[#This Row],[Aporte Realizado]])</f>
        <v>0</v>
      </c>
      <c r="G47" s="5" t="str">
        <f>IF(Tabela13[[#This Row],[Aporte Realizado]]="","",Tabela13[[#This Row],[Rendimento Realizado R$]]/(Tabela13[[#This Row],[Investimentos Realizado]]-(Tabela13[[#This Row],[Aporte Realizado]])))</f>
        <v/>
      </c>
      <c r="H47" s="16"/>
      <c r="I47" s="17"/>
      <c r="J47" s="17"/>
      <c r="K47" s="17"/>
      <c r="L4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7" s="17">
        <v>16500</v>
      </c>
      <c r="N47" s="17">
        <v>14500</v>
      </c>
      <c r="O47" s="8">
        <f>Tabela13[[#This Row],[Receita Previsto]]-Tabela13[[#This Row],[Despesa Previsto]]</f>
        <v>2000</v>
      </c>
      <c r="P47" s="8">
        <f>Tabela13[[#This Row],[Receita Previsto]]-Tabela13[[#This Row],[Despesa Previsto]]</f>
        <v>2000</v>
      </c>
      <c r="Q47" s="7">
        <f t="shared" si="4"/>
        <v>1799.4144264056549</v>
      </c>
      <c r="R47" s="5">
        <v>8.8999999999999999E-3</v>
      </c>
      <c r="S47" s="7">
        <f>S46+Q47+Tabela13[[#This Row],[Geração Caixa Previsto]]+Tabela13[[#This Row],[Aporte Previsto]]</f>
        <v>207980.81065176014</v>
      </c>
      <c r="T47" s="15">
        <f t="shared" si="1"/>
        <v>126809.4291115188</v>
      </c>
      <c r="U47" s="15">
        <f t="shared" si="3"/>
        <v>212995.98327438373</v>
      </c>
      <c r="V47" s="15">
        <f t="shared" si="2"/>
        <v>36062.741692594347</v>
      </c>
      <c r="W47" s="1">
        <f>Tabela13[[#This Row],[Apto Previsto]]+Tabela13[[#This Row],[Carro Previsto]]</f>
        <v>249058.72496697807</v>
      </c>
      <c r="X47" s="1">
        <f>Tabela13[[#This Row],[ Investimento Previsto]]-Tabela13[[#This Row],[Dívidas Previsto]]+Tabela13[[#This Row],[Outros Patrimônios]]</f>
        <v>330230.10650721943</v>
      </c>
    </row>
    <row r="48" spans="1:24" x14ac:dyDescent="0.3">
      <c r="A48" s="6">
        <v>46327</v>
      </c>
      <c r="B48" s="21"/>
      <c r="C48" s="20"/>
      <c r="D48" s="7" t="str">
        <f>IF(Tabela13[[#This Row],[Despesa Realizado]]="","",Tabela13[[#This Row],[Receita Realizado]]-Tabela13[[#This Row],[Despesa Realizado]])</f>
        <v/>
      </c>
      <c r="E48" s="15"/>
      <c r="F48" s="7">
        <f>IF(Tabela13[[#This Row],[Aporte Realizado]]="",0,Tabela13[[#This Row],[Investimentos Realizado]]-I47-Tabela13[[#This Row],[Aporte Realizado]])</f>
        <v>0</v>
      </c>
      <c r="G48" s="5" t="str">
        <f>IF(Tabela13[[#This Row],[Aporte Realizado]]="","",Tabela13[[#This Row],[Rendimento Realizado R$]]/(Tabela13[[#This Row],[Investimentos Realizado]]-(Tabela13[[#This Row],[Aporte Realizado]])))</f>
        <v/>
      </c>
      <c r="H48" s="16"/>
      <c r="I48" s="17"/>
      <c r="J48" s="17"/>
      <c r="K48" s="17"/>
      <c r="L4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8" s="17">
        <v>16500</v>
      </c>
      <c r="N48" s="17">
        <v>14500</v>
      </c>
      <c r="O48" s="8">
        <f>Tabela13[[#This Row],[Receita Previsto]]-Tabela13[[#This Row],[Despesa Previsto]]</f>
        <v>2000</v>
      </c>
      <c r="P48" s="8">
        <f>Tabela13[[#This Row],[Receita Previsto]]-Tabela13[[#This Row],[Despesa Previsto]]</f>
        <v>2000</v>
      </c>
      <c r="Q48" s="7">
        <f t="shared" si="4"/>
        <v>1851.0292148006652</v>
      </c>
      <c r="R48" s="5">
        <v>8.8999999999999999E-3</v>
      </c>
      <c r="S48" s="7">
        <f>S47+Q48+Tabela13[[#This Row],[Geração Caixa Previsto]]+Tabela13[[#This Row],[Aporte Previsto]]</f>
        <v>213831.8398665608</v>
      </c>
      <c r="T48" s="15">
        <f t="shared" si="1"/>
        <v>126517.76742456231</v>
      </c>
      <c r="U48" s="15">
        <f t="shared" si="3"/>
        <v>213294.17765096787</v>
      </c>
      <c r="V48" s="15">
        <f t="shared" si="2"/>
        <v>35979.797386701379</v>
      </c>
      <c r="W48" s="1">
        <f>Tabela13[[#This Row],[Apto Previsto]]+Tabela13[[#This Row],[Carro Previsto]]</f>
        <v>249273.97503766924</v>
      </c>
      <c r="X48" s="1">
        <f>Tabela13[[#This Row],[ Investimento Previsto]]-Tabela13[[#This Row],[Dívidas Previsto]]+Tabela13[[#This Row],[Outros Patrimônios]]</f>
        <v>336588.0474796677</v>
      </c>
    </row>
    <row r="49" spans="1:24" x14ac:dyDescent="0.3">
      <c r="A49" s="6">
        <v>46357</v>
      </c>
      <c r="B49" s="21"/>
      <c r="C49" s="20"/>
      <c r="D49" s="7" t="str">
        <f>IF(Tabela13[[#This Row],[Despesa Realizado]]="","",Tabela13[[#This Row],[Receita Realizado]]-Tabela13[[#This Row],[Despesa Realizado]])</f>
        <v/>
      </c>
      <c r="E49" s="15"/>
      <c r="F49" s="7">
        <f>IF(Tabela13[[#This Row],[Aporte Realizado]]="",0,Tabela13[[#This Row],[Investimentos Realizado]]-I48-Tabela13[[#This Row],[Aporte Realizado]])</f>
        <v>0</v>
      </c>
      <c r="G49" s="5" t="str">
        <f>IF(Tabela13[[#This Row],[Aporte Realizado]]="","",Tabela13[[#This Row],[Rendimento Realizado R$]]/(Tabela13[[#This Row],[Investimentos Realizado]]-(Tabela13[[#This Row],[Aporte Realizado]])))</f>
        <v/>
      </c>
      <c r="H49" s="16"/>
      <c r="I49" s="17"/>
      <c r="J49" s="17"/>
      <c r="K49" s="17"/>
      <c r="L4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49" s="17">
        <v>16500</v>
      </c>
      <c r="N49" s="17">
        <v>14500</v>
      </c>
      <c r="O49" s="8">
        <f>Tabela13[[#This Row],[Receita Previsto]]-Tabela13[[#This Row],[Despesa Previsto]]</f>
        <v>2000</v>
      </c>
      <c r="P49" s="8">
        <f>Tabela13[[#This Row],[Receita Previsto]]-Tabela13[[#This Row],[Despesa Previsto]]</f>
        <v>2000</v>
      </c>
      <c r="Q49" s="7">
        <f t="shared" si="4"/>
        <v>1903.1033748123912</v>
      </c>
      <c r="R49" s="5">
        <v>8.8999999999999999E-3</v>
      </c>
      <c r="S49" s="7">
        <f>S48+Q49+Tabela13[[#This Row],[Geração Caixa Previsto]]+Tabela13[[#This Row],[Aporte Previsto]]</f>
        <v>219734.9432413732</v>
      </c>
      <c r="T49" s="15">
        <f t="shared" si="1"/>
        <v>126226.77655948582</v>
      </c>
      <c r="U49" s="15">
        <f t="shared" si="3"/>
        <v>213592.78949967923</v>
      </c>
      <c r="V49" s="15">
        <f t="shared" si="2"/>
        <v>35897.04385271197</v>
      </c>
      <c r="W49" s="1">
        <f>Tabela13[[#This Row],[Apto Previsto]]+Tabela13[[#This Row],[Carro Previsto]]</f>
        <v>249489.8333523912</v>
      </c>
      <c r="X49" s="1">
        <f>Tabela13[[#This Row],[ Investimento Previsto]]-Tabela13[[#This Row],[Dívidas Previsto]]+Tabela13[[#This Row],[Outros Patrimônios]]</f>
        <v>342998.00003427861</v>
      </c>
    </row>
    <row r="50" spans="1:24" x14ac:dyDescent="0.3">
      <c r="A50" s="6">
        <v>46388</v>
      </c>
      <c r="B50" s="21"/>
      <c r="C50" s="20"/>
      <c r="D50" s="7" t="str">
        <f>IF(Tabela13[[#This Row],[Despesa Realizado]]="","",Tabela13[[#This Row],[Receita Realizado]]-Tabela13[[#This Row],[Despesa Realizado]])</f>
        <v/>
      </c>
      <c r="E50" s="15"/>
      <c r="F50" s="7">
        <f>IF(Tabela13[[#This Row],[Aporte Realizado]]="",0,Tabela13[[#This Row],[Investimentos Realizado]]-I49-Tabela13[[#This Row],[Aporte Realizado]])</f>
        <v>0</v>
      </c>
      <c r="G50" s="5" t="str">
        <f>IF(Tabela13[[#This Row],[Aporte Realizado]]="","",Tabela13[[#This Row],[Rendimento Realizado R$]]/(Tabela13[[#This Row],[Investimentos Realizado]]-(Tabela13[[#This Row],[Aporte Realizado]])))</f>
        <v/>
      </c>
      <c r="H50" s="16"/>
      <c r="I50" s="17"/>
      <c r="J50" s="17"/>
      <c r="K50" s="17"/>
      <c r="L5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0" s="17">
        <v>17000</v>
      </c>
      <c r="N50" s="17">
        <v>14900</v>
      </c>
      <c r="O50" s="8">
        <f>Tabela13[[#This Row],[Receita Previsto]]-Tabela13[[#This Row],[Despesa Previsto]]</f>
        <v>2100</v>
      </c>
      <c r="P50" s="8">
        <f>Tabela13[[#This Row],[Receita Previsto]]-Tabela13[[#This Row],[Despesa Previsto]]</f>
        <v>2100</v>
      </c>
      <c r="Q50" s="7">
        <f t="shared" si="4"/>
        <v>1955.6409948482215</v>
      </c>
      <c r="R50" s="5">
        <v>8.8999999999999999E-3</v>
      </c>
      <c r="S50" s="7">
        <f>S49+Q50+Tabela13[[#This Row],[Geração Caixa Previsto]]+Tabela13[[#This Row],[Aporte Previsto]]</f>
        <v>225890.58423622142</v>
      </c>
      <c r="T50" s="15">
        <f t="shared" si="1"/>
        <v>125936.45497339901</v>
      </c>
      <c r="U50" s="15">
        <f t="shared" si="3"/>
        <v>213891.8194049788</v>
      </c>
      <c r="V50" s="15">
        <f t="shared" si="2"/>
        <v>35814.480651850732</v>
      </c>
      <c r="W50" s="1">
        <f>Tabela13[[#This Row],[Apto Previsto]]+Tabela13[[#This Row],[Carro Previsto]]</f>
        <v>249706.30005682952</v>
      </c>
      <c r="X50" s="1">
        <f>Tabela13[[#This Row],[ Investimento Previsto]]-Tabela13[[#This Row],[Dívidas Previsto]]+Tabela13[[#This Row],[Outros Patrimônios]]</f>
        <v>349660.42931965191</v>
      </c>
    </row>
    <row r="51" spans="1:24" x14ac:dyDescent="0.3">
      <c r="A51" s="6">
        <v>46419</v>
      </c>
      <c r="B51" s="21"/>
      <c r="C51" s="20"/>
      <c r="D51" s="7" t="str">
        <f>IF(Tabela13[[#This Row],[Despesa Realizado]]="","",Tabela13[[#This Row],[Receita Realizado]]-Tabela13[[#This Row],[Despesa Realizado]])</f>
        <v/>
      </c>
      <c r="E51" s="15"/>
      <c r="F51" s="7">
        <f>IF(Tabela13[[#This Row],[Aporte Realizado]]="",0,Tabela13[[#This Row],[Investimentos Realizado]]-I50-Tabela13[[#This Row],[Aporte Realizado]])</f>
        <v>0</v>
      </c>
      <c r="G51" s="5" t="str">
        <f>IF(Tabela13[[#This Row],[Aporte Realizado]]="","",Tabela13[[#This Row],[Rendimento Realizado R$]]/(Tabela13[[#This Row],[Investimentos Realizado]]-(Tabela13[[#This Row],[Aporte Realizado]])))</f>
        <v/>
      </c>
      <c r="H51" s="16"/>
      <c r="I51" s="17"/>
      <c r="J51" s="17"/>
      <c r="K51" s="17"/>
      <c r="L5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1" s="17">
        <v>17000</v>
      </c>
      <c r="N51" s="17">
        <v>14900</v>
      </c>
      <c r="O51" s="8">
        <f>Tabela13[[#This Row],[Receita Previsto]]-Tabela13[[#This Row],[Despesa Previsto]]</f>
        <v>2100</v>
      </c>
      <c r="P51" s="8">
        <f>Tabela13[[#This Row],[Receita Previsto]]-Tabela13[[#This Row],[Despesa Previsto]]</f>
        <v>2100</v>
      </c>
      <c r="Q51" s="7">
        <f t="shared" si="4"/>
        <v>2010.4261997023707</v>
      </c>
      <c r="R51" s="5">
        <v>8.8999999999999999E-3</v>
      </c>
      <c r="S51" s="7">
        <f>S50+Q51+Tabela13[[#This Row],[Geração Caixa Previsto]]+Tabela13[[#This Row],[Aporte Previsto]]</f>
        <v>232101.01043592379</v>
      </c>
      <c r="T51" s="15">
        <f t="shared" si="1"/>
        <v>125646.8011269602</v>
      </c>
      <c r="U51" s="15">
        <f t="shared" si="3"/>
        <v>214191.26795214578</v>
      </c>
      <c r="V51" s="15">
        <f t="shared" si="2"/>
        <v>35732.107346351477</v>
      </c>
      <c r="W51" s="1">
        <f>Tabela13[[#This Row],[Apto Previsto]]+Tabela13[[#This Row],[Carro Previsto]]</f>
        <v>249923.37529849727</v>
      </c>
      <c r="X51" s="1">
        <f>Tabela13[[#This Row],[ Investimento Previsto]]-Tabela13[[#This Row],[Dívidas Previsto]]+Tabela13[[#This Row],[Outros Patrimônios]]</f>
        <v>356377.58460746089</v>
      </c>
    </row>
    <row r="52" spans="1:24" x14ac:dyDescent="0.3">
      <c r="A52" s="6">
        <v>46447</v>
      </c>
      <c r="B52" s="21"/>
      <c r="C52" s="20"/>
      <c r="D52" s="7" t="str">
        <f>IF(Tabela13[[#This Row],[Despesa Realizado]]="","",Tabela13[[#This Row],[Receita Realizado]]-Tabela13[[#This Row],[Despesa Realizado]])</f>
        <v/>
      </c>
      <c r="E52" s="15"/>
      <c r="F52" s="7">
        <f>IF(Tabela13[[#This Row],[Aporte Realizado]]="",0,Tabela13[[#This Row],[Investimentos Realizado]]-I51-Tabela13[[#This Row],[Aporte Realizado]])</f>
        <v>0</v>
      </c>
      <c r="G52" s="5" t="str">
        <f>IF(Tabela13[[#This Row],[Aporte Realizado]]="","",Tabela13[[#This Row],[Rendimento Realizado R$]]/(Tabela13[[#This Row],[Investimentos Realizado]]-(Tabela13[[#This Row],[Aporte Realizado]])))</f>
        <v/>
      </c>
      <c r="H52" s="16"/>
      <c r="I52" s="17"/>
      <c r="J52" s="17"/>
      <c r="K52" s="17"/>
      <c r="L5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2" s="17">
        <v>17000</v>
      </c>
      <c r="N52" s="17">
        <v>14900</v>
      </c>
      <c r="O52" s="8">
        <f>Tabela13[[#This Row],[Receita Previsto]]-Tabela13[[#This Row],[Despesa Previsto]]</f>
        <v>2100</v>
      </c>
      <c r="P52" s="8">
        <f>Tabela13[[#This Row],[Receita Previsto]]-Tabela13[[#This Row],[Despesa Previsto]]</f>
        <v>2100</v>
      </c>
      <c r="Q52" s="7">
        <f t="shared" si="4"/>
        <v>2065.6989928797216</v>
      </c>
      <c r="R52" s="5">
        <v>8.8999999999999999E-3</v>
      </c>
      <c r="S52" s="7">
        <f>S51+Q52+Tabela13[[#This Row],[Geração Caixa Previsto]]+Tabela13[[#This Row],[Aporte Previsto]]</f>
        <v>238366.7094288035</v>
      </c>
      <c r="T52" s="15">
        <f t="shared" si="1"/>
        <v>125357.81348436819</v>
      </c>
      <c r="U52" s="15">
        <f t="shared" si="3"/>
        <v>214491.1357272788</v>
      </c>
      <c r="V52" s="15">
        <f t="shared" si="2"/>
        <v>35649.923499454868</v>
      </c>
      <c r="W52" s="1">
        <f>Tabela13[[#This Row],[Apto Previsto]]+Tabela13[[#This Row],[Carro Previsto]]</f>
        <v>250141.05922673366</v>
      </c>
      <c r="X52" s="1">
        <f>Tabela13[[#This Row],[ Investimento Previsto]]-Tabela13[[#This Row],[Dívidas Previsto]]+Tabela13[[#This Row],[Outros Patrimônios]]</f>
        <v>363149.95517116896</v>
      </c>
    </row>
    <row r="53" spans="1:24" x14ac:dyDescent="0.3">
      <c r="A53" s="6">
        <v>46478</v>
      </c>
      <c r="B53" s="21"/>
      <c r="C53" s="20"/>
      <c r="D53" s="7" t="str">
        <f>IF(Tabela13[[#This Row],[Despesa Realizado]]="","",Tabela13[[#This Row],[Receita Realizado]]-Tabela13[[#This Row],[Despesa Realizado]])</f>
        <v/>
      </c>
      <c r="E53" s="15"/>
      <c r="F53" s="7">
        <f>IF(Tabela13[[#This Row],[Aporte Realizado]]="",0,Tabela13[[#This Row],[Investimentos Realizado]]-I52-Tabela13[[#This Row],[Aporte Realizado]])</f>
        <v>0</v>
      </c>
      <c r="G53" s="5" t="str">
        <f>IF(Tabela13[[#This Row],[Aporte Realizado]]="","",Tabela13[[#This Row],[Rendimento Realizado R$]]/(Tabela13[[#This Row],[Investimentos Realizado]]-(Tabela13[[#This Row],[Aporte Realizado]])))</f>
        <v/>
      </c>
      <c r="H53" s="16"/>
      <c r="I53" s="17"/>
      <c r="J53" s="17"/>
      <c r="K53" s="17"/>
      <c r="L5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3" s="17">
        <v>17000</v>
      </c>
      <c r="N53" s="17">
        <v>14900</v>
      </c>
      <c r="O53" s="8">
        <f>Tabela13[[#This Row],[Receita Previsto]]-Tabela13[[#This Row],[Despesa Previsto]]</f>
        <v>2100</v>
      </c>
      <c r="P53" s="8">
        <f>Tabela13[[#This Row],[Receita Previsto]]-Tabela13[[#This Row],[Despesa Previsto]]</f>
        <v>2100</v>
      </c>
      <c r="Q53" s="7">
        <f t="shared" si="4"/>
        <v>2121.463713916351</v>
      </c>
      <c r="R53" s="5">
        <v>8.8999999999999999E-3</v>
      </c>
      <c r="S53" s="7">
        <f>S52+Q53+Tabela13[[#This Row],[Geração Caixa Previsto]]+Tabela13[[#This Row],[Aporte Previsto]]</f>
        <v>244688.17314271984</v>
      </c>
      <c r="T53" s="15">
        <f t="shared" si="1"/>
        <v>125069.49051335415</v>
      </c>
      <c r="U53" s="15">
        <f t="shared" si="3"/>
        <v>214791.42331729701</v>
      </c>
      <c r="V53" s="15">
        <f t="shared" si="2"/>
        <v>35567.928675406125</v>
      </c>
      <c r="W53" s="1">
        <f>Tabela13[[#This Row],[Apto Previsto]]+Tabela13[[#This Row],[Carro Previsto]]</f>
        <v>250359.35199270313</v>
      </c>
      <c r="X53" s="1">
        <f>Tabela13[[#This Row],[ Investimento Previsto]]-Tabela13[[#This Row],[Dívidas Previsto]]+Tabela13[[#This Row],[Outros Patrimônios]]</f>
        <v>369978.03462206881</v>
      </c>
    </row>
    <row r="54" spans="1:24" x14ac:dyDescent="0.3">
      <c r="A54" s="6">
        <v>46508</v>
      </c>
      <c r="B54" s="21"/>
      <c r="C54" s="20"/>
      <c r="D54" s="7" t="str">
        <f>IF(Tabela13[[#This Row],[Despesa Realizado]]="","",Tabela13[[#This Row],[Receita Realizado]]-Tabela13[[#This Row],[Despesa Realizado]])</f>
        <v/>
      </c>
      <c r="E54" s="15"/>
      <c r="F54" s="7">
        <f>IF(Tabela13[[#This Row],[Aporte Realizado]]="",0,Tabela13[[#This Row],[Investimentos Realizado]]-I53-Tabela13[[#This Row],[Aporte Realizado]])</f>
        <v>0</v>
      </c>
      <c r="G54" s="5" t="str">
        <f>IF(Tabela13[[#This Row],[Aporte Realizado]]="","",Tabela13[[#This Row],[Rendimento Realizado R$]]/(Tabela13[[#This Row],[Investimentos Realizado]]-(Tabela13[[#This Row],[Aporte Realizado]])))</f>
        <v/>
      </c>
      <c r="H54" s="16"/>
      <c r="I54" s="17"/>
      <c r="J54" s="17"/>
      <c r="K54" s="17"/>
      <c r="L5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4" s="17">
        <v>17000</v>
      </c>
      <c r="N54" s="17">
        <v>14900</v>
      </c>
      <c r="O54" s="8">
        <f>Tabela13[[#This Row],[Receita Previsto]]-Tabela13[[#This Row],[Despesa Previsto]]</f>
        <v>2100</v>
      </c>
      <c r="P54" s="8">
        <f>Tabela13[[#This Row],[Receita Previsto]]-Tabela13[[#This Row],[Despesa Previsto]]</f>
        <v>2100</v>
      </c>
      <c r="Q54" s="7">
        <f t="shared" si="4"/>
        <v>2177.7247409702068</v>
      </c>
      <c r="R54" s="5">
        <v>8.8999999999999999E-3</v>
      </c>
      <c r="S54" s="7">
        <f>S53+Q54+Tabela13[[#This Row],[Geração Caixa Previsto]]+Tabela13[[#This Row],[Aporte Previsto]]</f>
        <v>251065.89788369005</v>
      </c>
      <c r="T54" s="15">
        <f t="shared" si="1"/>
        <v>124781.83068517344</v>
      </c>
      <c r="U54" s="15">
        <f t="shared" si="3"/>
        <v>215092.13130994124</v>
      </c>
      <c r="V54" s="15">
        <f t="shared" si="2"/>
        <v>35486.122439452694</v>
      </c>
      <c r="W54" s="1">
        <f>Tabela13[[#This Row],[Apto Previsto]]+Tabela13[[#This Row],[Carro Previsto]]</f>
        <v>250578.25374939392</v>
      </c>
      <c r="X54" s="1">
        <f>Tabela13[[#This Row],[ Investimento Previsto]]-Tabela13[[#This Row],[Dívidas Previsto]]+Tabela13[[#This Row],[Outros Patrimônios]]</f>
        <v>376862.32094791054</v>
      </c>
    </row>
    <row r="55" spans="1:24" x14ac:dyDescent="0.3">
      <c r="A55" s="6">
        <v>46539</v>
      </c>
      <c r="B55" s="21"/>
      <c r="C55" s="20"/>
      <c r="D55" s="7" t="str">
        <f>IF(Tabela13[[#This Row],[Despesa Realizado]]="","",Tabela13[[#This Row],[Receita Realizado]]-Tabela13[[#This Row],[Despesa Realizado]])</f>
        <v/>
      </c>
      <c r="E55" s="15"/>
      <c r="F55" s="7">
        <f>IF(Tabela13[[#This Row],[Aporte Realizado]]="",0,Tabela13[[#This Row],[Investimentos Realizado]]-I54-Tabela13[[#This Row],[Aporte Realizado]])</f>
        <v>0</v>
      </c>
      <c r="G55" s="5" t="str">
        <f>IF(Tabela13[[#This Row],[Aporte Realizado]]="","",Tabela13[[#This Row],[Rendimento Realizado R$]]/(Tabela13[[#This Row],[Investimentos Realizado]]-(Tabela13[[#This Row],[Aporte Realizado]])))</f>
        <v/>
      </c>
      <c r="H55" s="16"/>
      <c r="I55" s="17"/>
      <c r="J55" s="17"/>
      <c r="K55" s="17"/>
      <c r="L5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5" s="17">
        <v>17000</v>
      </c>
      <c r="N55" s="17">
        <v>14900</v>
      </c>
      <c r="O55" s="8">
        <f>Tabela13[[#This Row],[Receita Previsto]]-Tabela13[[#This Row],[Despesa Previsto]]</f>
        <v>2100</v>
      </c>
      <c r="P55" s="8">
        <f>Tabela13[[#This Row],[Receita Previsto]]-Tabela13[[#This Row],[Despesa Previsto]]</f>
        <v>2100</v>
      </c>
      <c r="Q55" s="7">
        <f t="shared" si="4"/>
        <v>2234.4864911648415</v>
      </c>
      <c r="R55" s="5">
        <v>8.8999999999999999E-3</v>
      </c>
      <c r="S55" s="7">
        <f>S54+Q55+Tabela13[[#This Row],[Geração Caixa Previsto]]+Tabela13[[#This Row],[Aporte Previsto]]</f>
        <v>257500.38437485488</v>
      </c>
      <c r="T55" s="15">
        <f t="shared" si="1"/>
        <v>124494.83247459754</v>
      </c>
      <c r="U55" s="15">
        <f t="shared" si="3"/>
        <v>215393.26029377518</v>
      </c>
      <c r="V55" s="15">
        <f t="shared" si="2"/>
        <v>35404.504357841957</v>
      </c>
      <c r="W55" s="1">
        <f>Tabela13[[#This Row],[Apto Previsto]]+Tabela13[[#This Row],[Carro Previsto]]</f>
        <v>250797.76465161715</v>
      </c>
      <c r="X55" s="1">
        <f>Tabela13[[#This Row],[ Investimento Previsto]]-Tabela13[[#This Row],[Dívidas Previsto]]+Tabela13[[#This Row],[Outros Patrimônios]]</f>
        <v>383803.31655187451</v>
      </c>
    </row>
    <row r="56" spans="1:24" x14ac:dyDescent="0.3">
      <c r="A56" s="6">
        <v>46569</v>
      </c>
      <c r="B56" s="21"/>
      <c r="C56" s="20"/>
      <c r="D56" s="7" t="str">
        <f>IF(Tabela13[[#This Row],[Despesa Realizado]]="","",Tabela13[[#This Row],[Receita Realizado]]-Tabela13[[#This Row],[Despesa Realizado]])</f>
        <v/>
      </c>
      <c r="E56" s="15"/>
      <c r="F56" s="7">
        <f>IF(Tabela13[[#This Row],[Aporte Realizado]]="",0,Tabela13[[#This Row],[Investimentos Realizado]]-I55-Tabela13[[#This Row],[Aporte Realizado]])</f>
        <v>0</v>
      </c>
      <c r="G56" s="5" t="str">
        <f>IF(Tabela13[[#This Row],[Aporte Realizado]]="","",Tabela13[[#This Row],[Rendimento Realizado R$]]/(Tabela13[[#This Row],[Investimentos Realizado]]-(Tabela13[[#This Row],[Aporte Realizado]])))</f>
        <v/>
      </c>
      <c r="H56" s="16"/>
      <c r="I56" s="17"/>
      <c r="J56" s="17"/>
      <c r="K56" s="17"/>
      <c r="L5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6" s="17">
        <v>17000</v>
      </c>
      <c r="N56" s="17">
        <v>14900</v>
      </c>
      <c r="O56" s="8">
        <f>Tabela13[[#This Row],[Receita Previsto]]-Tabela13[[#This Row],[Despesa Previsto]]</f>
        <v>2100</v>
      </c>
      <c r="P56" s="8">
        <f>Tabela13[[#This Row],[Receita Previsto]]-Tabela13[[#This Row],[Despesa Previsto]]</f>
        <v>2100</v>
      </c>
      <c r="Q56" s="7">
        <f t="shared" si="4"/>
        <v>2291.7534209362084</v>
      </c>
      <c r="R56" s="5">
        <v>8.8999999999999999E-3</v>
      </c>
      <c r="S56" s="7">
        <f>S55+Q56+Tabela13[[#This Row],[Geração Caixa Previsto]]+Tabela13[[#This Row],[Aporte Previsto]]</f>
        <v>263992.13779579109</v>
      </c>
      <c r="T56" s="15">
        <f t="shared" si="1"/>
        <v>124208.49435990598</v>
      </c>
      <c r="U56" s="15">
        <f t="shared" si="3"/>
        <v>215694.81085818648</v>
      </c>
      <c r="V56" s="15">
        <f t="shared" si="2"/>
        <v>35323.073997818923</v>
      </c>
      <c r="W56" s="1">
        <f>Tabela13[[#This Row],[Apto Previsto]]+Tabela13[[#This Row],[Carro Previsto]]</f>
        <v>251017.8848560054</v>
      </c>
      <c r="X56" s="1">
        <f>Tabela13[[#This Row],[ Investimento Previsto]]-Tabela13[[#This Row],[Dívidas Previsto]]+Tabela13[[#This Row],[Outros Patrimônios]]</f>
        <v>390801.52829189051</v>
      </c>
    </row>
    <row r="57" spans="1:24" x14ac:dyDescent="0.3">
      <c r="A57" s="6">
        <v>46600</v>
      </c>
      <c r="B57" s="21"/>
      <c r="C57" s="20"/>
      <c r="D57" s="7" t="str">
        <f>IF(Tabela13[[#This Row],[Despesa Realizado]]="","",Tabela13[[#This Row],[Receita Realizado]]-Tabela13[[#This Row],[Despesa Realizado]])</f>
        <v/>
      </c>
      <c r="E57" s="15"/>
      <c r="F57" s="7">
        <f>IF(Tabela13[[#This Row],[Aporte Realizado]]="",0,Tabela13[[#This Row],[Investimentos Realizado]]-I56-Tabela13[[#This Row],[Aporte Realizado]])</f>
        <v>0</v>
      </c>
      <c r="G57" s="5" t="str">
        <f>IF(Tabela13[[#This Row],[Aporte Realizado]]="","",Tabela13[[#This Row],[Rendimento Realizado R$]]/(Tabela13[[#This Row],[Investimentos Realizado]]-(Tabela13[[#This Row],[Aporte Realizado]])))</f>
        <v/>
      </c>
      <c r="H57" s="16"/>
      <c r="I57" s="17"/>
      <c r="J57" s="17"/>
      <c r="K57" s="17"/>
      <c r="L5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7" s="17">
        <v>17000</v>
      </c>
      <c r="N57" s="17">
        <v>14900</v>
      </c>
      <c r="O57" s="8">
        <f>Tabela13[[#This Row],[Receita Previsto]]-Tabela13[[#This Row],[Despesa Previsto]]</f>
        <v>2100</v>
      </c>
      <c r="P57" s="8">
        <f>Tabela13[[#This Row],[Receita Previsto]]-Tabela13[[#This Row],[Despesa Previsto]]</f>
        <v>2100</v>
      </c>
      <c r="Q57" s="7">
        <f t="shared" si="4"/>
        <v>2349.5300263825407</v>
      </c>
      <c r="R57" s="5">
        <v>8.8999999999999999E-3</v>
      </c>
      <c r="S57" s="7">
        <f>S56+Q57+Tabela13[[#This Row],[Geração Caixa Previsto]]+Tabela13[[#This Row],[Aporte Previsto]]</f>
        <v>270541.66782217362</v>
      </c>
      <c r="T57" s="15">
        <f t="shared" si="1"/>
        <v>123922.81482287819</v>
      </c>
      <c r="U57" s="15">
        <f t="shared" si="3"/>
        <v>215996.78359338795</v>
      </c>
      <c r="V57" s="15">
        <f t="shared" si="2"/>
        <v>35241.830927623938</v>
      </c>
      <c r="W57" s="1">
        <f>Tabela13[[#This Row],[Apto Previsto]]+Tabela13[[#This Row],[Carro Previsto]]</f>
        <v>251238.61452101188</v>
      </c>
      <c r="X57" s="1">
        <f>Tabela13[[#This Row],[ Investimento Previsto]]-Tabela13[[#This Row],[Dívidas Previsto]]+Tabela13[[#This Row],[Outros Patrimônios]]</f>
        <v>397857.46752030728</v>
      </c>
    </row>
    <row r="58" spans="1:24" x14ac:dyDescent="0.3">
      <c r="A58" s="6">
        <v>46631</v>
      </c>
      <c r="B58" s="21"/>
      <c r="C58" s="20"/>
      <c r="D58" s="7" t="str">
        <f>IF(Tabela13[[#This Row],[Despesa Realizado]]="","",Tabela13[[#This Row],[Receita Realizado]]-Tabela13[[#This Row],[Despesa Realizado]])</f>
        <v/>
      </c>
      <c r="E58" s="15"/>
      <c r="F58" s="7">
        <f>IF(Tabela13[[#This Row],[Aporte Realizado]]="",0,Tabela13[[#This Row],[Investimentos Realizado]]-I57-Tabela13[[#This Row],[Aporte Realizado]])</f>
        <v>0</v>
      </c>
      <c r="G58" s="5" t="str">
        <f>IF(Tabela13[[#This Row],[Aporte Realizado]]="","",Tabela13[[#This Row],[Rendimento Realizado R$]]/(Tabela13[[#This Row],[Investimentos Realizado]]-(Tabela13[[#This Row],[Aporte Realizado]])))</f>
        <v/>
      </c>
      <c r="H58" s="16"/>
      <c r="I58" s="17"/>
      <c r="J58" s="17"/>
      <c r="K58" s="17"/>
      <c r="L5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8" s="17">
        <v>17000</v>
      </c>
      <c r="N58" s="17">
        <v>14900</v>
      </c>
      <c r="O58" s="8">
        <f>Tabela13[[#This Row],[Receita Previsto]]-Tabela13[[#This Row],[Despesa Previsto]]</f>
        <v>2100</v>
      </c>
      <c r="P58" s="8">
        <f>Tabela13[[#This Row],[Receita Previsto]]-Tabela13[[#This Row],[Despesa Previsto]]</f>
        <v>2100</v>
      </c>
      <c r="Q58" s="7">
        <f t="shared" si="4"/>
        <v>2407.8208436173454</v>
      </c>
      <c r="R58" s="5">
        <v>8.8999999999999999E-3</v>
      </c>
      <c r="S58" s="7">
        <f>S57+Q58+Tabela13[[#This Row],[Geração Caixa Previsto]]+Tabela13[[#This Row],[Aporte Previsto]]</f>
        <v>277149.488665791</v>
      </c>
      <c r="T58" s="15">
        <f t="shared" si="1"/>
        <v>123637.79234878557</v>
      </c>
      <c r="U58" s="15">
        <f t="shared" si="3"/>
        <v>216299.17909041871</v>
      </c>
      <c r="V58" s="15">
        <f t="shared" si="2"/>
        <v>35160.774716490407</v>
      </c>
      <c r="W58" s="1">
        <f>Tabela13[[#This Row],[Apto Previsto]]+Tabela13[[#This Row],[Carro Previsto]]</f>
        <v>251459.95380690912</v>
      </c>
      <c r="X58" s="1">
        <f>Tabela13[[#This Row],[ Investimento Previsto]]-Tabela13[[#This Row],[Dívidas Previsto]]+Tabela13[[#This Row],[Outros Patrimônios]]</f>
        <v>404971.65012391459</v>
      </c>
    </row>
    <row r="59" spans="1:24" x14ac:dyDescent="0.3">
      <c r="A59" s="6">
        <v>46661</v>
      </c>
      <c r="B59" s="21"/>
      <c r="C59" s="20"/>
      <c r="D59" s="7" t="str">
        <f>IF(Tabela13[[#This Row],[Despesa Realizado]]="","",Tabela13[[#This Row],[Receita Realizado]]-Tabela13[[#This Row],[Despesa Realizado]])</f>
        <v/>
      </c>
      <c r="E59" s="15"/>
      <c r="F59" s="7">
        <f>IF(Tabela13[[#This Row],[Aporte Realizado]]="",0,Tabela13[[#This Row],[Investimentos Realizado]]-I58-Tabela13[[#This Row],[Aporte Realizado]])</f>
        <v>0</v>
      </c>
      <c r="G59" s="5" t="str">
        <f>IF(Tabela13[[#This Row],[Aporte Realizado]]="","",Tabela13[[#This Row],[Rendimento Realizado R$]]/(Tabela13[[#This Row],[Investimentos Realizado]]-(Tabela13[[#This Row],[Aporte Realizado]])))</f>
        <v/>
      </c>
      <c r="H59" s="16"/>
      <c r="I59" s="17"/>
      <c r="J59" s="17"/>
      <c r="K59" s="17"/>
      <c r="L5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59" s="17">
        <v>17000</v>
      </c>
      <c r="N59" s="17">
        <v>14900</v>
      </c>
      <c r="O59" s="8">
        <f>Tabela13[[#This Row],[Receita Previsto]]-Tabela13[[#This Row],[Despesa Previsto]]</f>
        <v>2100</v>
      </c>
      <c r="P59" s="8">
        <f>Tabela13[[#This Row],[Receita Previsto]]-Tabela13[[#This Row],[Despesa Previsto]]</f>
        <v>2100</v>
      </c>
      <c r="Q59" s="7">
        <f t="shared" si="4"/>
        <v>2466.6304491255401</v>
      </c>
      <c r="R59" s="5">
        <v>8.8999999999999999E-3</v>
      </c>
      <c r="S59" s="7">
        <f>S58+Q59+Tabela13[[#This Row],[Geração Caixa Previsto]]+Tabela13[[#This Row],[Aporte Previsto]]</f>
        <v>283816.11911491654</v>
      </c>
      <c r="T59" s="15">
        <f t="shared" si="1"/>
        <v>123353.42542638337</v>
      </c>
      <c r="U59" s="15">
        <f t="shared" si="3"/>
        <v>216601.9979411453</v>
      </c>
      <c r="V59" s="15">
        <f t="shared" si="2"/>
        <v>35079.90493464248</v>
      </c>
      <c r="W59" s="1">
        <f>Tabela13[[#This Row],[Apto Previsto]]+Tabela13[[#This Row],[Carro Previsto]]</f>
        <v>251681.90287578778</v>
      </c>
      <c r="X59" s="1">
        <f>Tabela13[[#This Row],[ Investimento Previsto]]-Tabela13[[#This Row],[Dívidas Previsto]]+Tabela13[[#This Row],[Outros Patrimônios]]</f>
        <v>412144.59656432096</v>
      </c>
    </row>
    <row r="60" spans="1:24" x14ac:dyDescent="0.3">
      <c r="A60" s="6">
        <v>46692</v>
      </c>
      <c r="B60" s="21"/>
      <c r="C60" s="20"/>
      <c r="D60" s="7" t="str">
        <f>IF(Tabela13[[#This Row],[Despesa Realizado]]="","",Tabela13[[#This Row],[Receita Realizado]]-Tabela13[[#This Row],[Despesa Realizado]])</f>
        <v/>
      </c>
      <c r="E60" s="15"/>
      <c r="F60" s="7">
        <f>IF(Tabela13[[#This Row],[Aporte Realizado]]="",0,Tabela13[[#This Row],[Investimentos Realizado]]-I59-Tabela13[[#This Row],[Aporte Realizado]])</f>
        <v>0</v>
      </c>
      <c r="G60" s="5" t="str">
        <f>IF(Tabela13[[#This Row],[Aporte Realizado]]="","",Tabela13[[#This Row],[Rendimento Realizado R$]]/(Tabela13[[#This Row],[Investimentos Realizado]]-(Tabela13[[#This Row],[Aporte Realizado]])))</f>
        <v/>
      </c>
      <c r="H60" s="16"/>
      <c r="I60" s="17"/>
      <c r="J60" s="17"/>
      <c r="K60" s="17"/>
      <c r="L6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0" s="17">
        <v>17000</v>
      </c>
      <c r="N60" s="17">
        <v>14900</v>
      </c>
      <c r="O60" s="8">
        <f>Tabela13[[#This Row],[Receita Previsto]]-Tabela13[[#This Row],[Despesa Previsto]]</f>
        <v>2100</v>
      </c>
      <c r="P60" s="8">
        <f>Tabela13[[#This Row],[Receita Previsto]]-Tabela13[[#This Row],[Despesa Previsto]]</f>
        <v>2100</v>
      </c>
      <c r="Q60" s="7">
        <f t="shared" si="4"/>
        <v>2525.9634601227572</v>
      </c>
      <c r="R60" s="5">
        <v>8.8999999999999999E-3</v>
      </c>
      <c r="S60" s="7">
        <f>S59+Q60+Tabela13[[#This Row],[Geração Caixa Previsto]]+Tabela13[[#This Row],[Aporte Previsto]]</f>
        <v>290542.0825750393</v>
      </c>
      <c r="T60" s="15">
        <f t="shared" si="1"/>
        <v>123069.71254790269</v>
      </c>
      <c r="U60" s="15">
        <f t="shared" si="3"/>
        <v>216905.24073826292</v>
      </c>
      <c r="V60" s="15">
        <f t="shared" si="2"/>
        <v>34999.221153292805</v>
      </c>
      <c r="W60" s="1">
        <f>Tabela13[[#This Row],[Apto Previsto]]+Tabela13[[#This Row],[Carro Previsto]]</f>
        <v>251904.46189155572</v>
      </c>
      <c r="X60" s="1">
        <f>Tabela13[[#This Row],[ Investimento Previsto]]-Tabela13[[#This Row],[Dívidas Previsto]]+Tabela13[[#This Row],[Outros Patrimônios]]</f>
        <v>419376.83191869233</v>
      </c>
    </row>
    <row r="61" spans="1:24" x14ac:dyDescent="0.3">
      <c r="A61" s="6">
        <v>46722</v>
      </c>
      <c r="B61" s="21"/>
      <c r="C61" s="20"/>
      <c r="D61" s="7" t="str">
        <f>IF(Tabela13[[#This Row],[Despesa Realizado]]="","",Tabela13[[#This Row],[Receita Realizado]]-Tabela13[[#This Row],[Despesa Realizado]])</f>
        <v/>
      </c>
      <c r="E61" s="15"/>
      <c r="F61" s="7">
        <f>IF(Tabela13[[#This Row],[Aporte Realizado]]="",0,Tabela13[[#This Row],[Investimentos Realizado]]-I60-Tabela13[[#This Row],[Aporte Realizado]])</f>
        <v>0</v>
      </c>
      <c r="G61" s="5" t="str">
        <f>IF(Tabela13[[#This Row],[Aporte Realizado]]="","",Tabela13[[#This Row],[Rendimento Realizado R$]]/(Tabela13[[#This Row],[Investimentos Realizado]]-(Tabela13[[#This Row],[Aporte Realizado]])))</f>
        <v/>
      </c>
      <c r="H61" s="16"/>
      <c r="I61" s="17"/>
      <c r="J61" s="17"/>
      <c r="K61" s="17"/>
      <c r="L6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1" s="17">
        <v>17000</v>
      </c>
      <c r="N61" s="17">
        <v>14900</v>
      </c>
      <c r="O61" s="8">
        <f>Tabela13[[#This Row],[Receita Previsto]]-Tabela13[[#This Row],[Despesa Previsto]]</f>
        <v>2100</v>
      </c>
      <c r="P61" s="8">
        <f>Tabela13[[#This Row],[Receita Previsto]]-Tabela13[[#This Row],[Despesa Previsto]]</f>
        <v>2100</v>
      </c>
      <c r="Q61" s="7">
        <f t="shared" si="4"/>
        <v>2585.8245349178496</v>
      </c>
      <c r="R61" s="5">
        <v>8.8999999999999999E-3</v>
      </c>
      <c r="S61" s="7">
        <f>S60+Q61+Tabela13[[#This Row],[Geração Caixa Previsto]]+Tabela13[[#This Row],[Aporte Previsto]]</f>
        <v>297327.90710995713</v>
      </c>
      <c r="T61" s="15">
        <f t="shared" si="1"/>
        <v>122786.65220904251</v>
      </c>
      <c r="U61" s="15">
        <f t="shared" si="3"/>
        <v>217208.90807529649</v>
      </c>
      <c r="V61" s="15">
        <f t="shared" si="2"/>
        <v>34918.722944640234</v>
      </c>
      <c r="W61" s="1">
        <f>Tabela13[[#This Row],[Apto Previsto]]+Tabela13[[#This Row],[Carro Previsto]]</f>
        <v>252127.63101993673</v>
      </c>
      <c r="X61" s="1">
        <f>Tabela13[[#This Row],[ Investimento Previsto]]-Tabela13[[#This Row],[Dívidas Previsto]]+Tabela13[[#This Row],[Outros Patrimônios]]</f>
        <v>426668.88592085137</v>
      </c>
    </row>
    <row r="62" spans="1:24" x14ac:dyDescent="0.3">
      <c r="A62" s="6">
        <v>46753</v>
      </c>
      <c r="B62" s="21"/>
      <c r="C62" s="20"/>
      <c r="D62" s="7" t="str">
        <f>IF(Tabela13[[#This Row],[Despesa Realizado]]="","",Tabela13[[#This Row],[Receita Realizado]]-Tabela13[[#This Row],[Despesa Realizado]])</f>
        <v/>
      </c>
      <c r="E62" s="15"/>
      <c r="F62" s="7">
        <f>IF(Tabela13[[#This Row],[Aporte Realizado]]="",0,Tabela13[[#This Row],[Investimentos Realizado]]-I61-Tabela13[[#This Row],[Aporte Realizado]])</f>
        <v>0</v>
      </c>
      <c r="G62" s="5" t="str">
        <f>IF(Tabela13[[#This Row],[Aporte Realizado]]="","",Tabela13[[#This Row],[Rendimento Realizado R$]]/(Tabela13[[#This Row],[Investimentos Realizado]]-(Tabela13[[#This Row],[Aporte Realizado]])))</f>
        <v/>
      </c>
      <c r="H62" s="16"/>
      <c r="I62" s="17"/>
      <c r="J62" s="17"/>
      <c r="K62" s="17"/>
      <c r="L6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2" s="17">
        <v>17500</v>
      </c>
      <c r="N62" s="17">
        <v>14900</v>
      </c>
      <c r="O62" s="8">
        <f>Tabela13[[#This Row],[Receita Previsto]]-Tabela13[[#This Row],[Despesa Previsto]]</f>
        <v>2600</v>
      </c>
      <c r="P62" s="8">
        <f>Tabela13[[#This Row],[Receita Previsto]]-Tabela13[[#This Row],[Despesa Previsto]]</f>
        <v>2600</v>
      </c>
      <c r="Q62" s="7">
        <f t="shared" si="4"/>
        <v>2646.2183732786184</v>
      </c>
      <c r="R62" s="5">
        <v>8.8999999999999999E-3</v>
      </c>
      <c r="S62" s="7">
        <f>S61+Q62+Tabela13[[#This Row],[Geração Caixa Previsto]]+Tabela13[[#This Row],[Aporte Previsto]]</f>
        <v>305174.12548323575</v>
      </c>
      <c r="T62" s="15">
        <f t="shared" si="1"/>
        <v>122504.24290896172</v>
      </c>
      <c r="U62" s="15">
        <f t="shared" si="3"/>
        <v>217513.00054660192</v>
      </c>
      <c r="V62" s="15">
        <f t="shared" si="2"/>
        <v>34838.409881867563</v>
      </c>
      <c r="W62" s="1">
        <f>Tabela13[[#This Row],[Apto Previsto]]+Tabela13[[#This Row],[Carro Previsto]]</f>
        <v>252351.41042846948</v>
      </c>
      <c r="X62" s="1">
        <f>Tabela13[[#This Row],[ Investimento Previsto]]-Tabela13[[#This Row],[Dívidas Previsto]]+Tabela13[[#This Row],[Outros Patrimônios]]</f>
        <v>435021.29300274351</v>
      </c>
    </row>
    <row r="63" spans="1:24" x14ac:dyDescent="0.3">
      <c r="A63" s="6">
        <v>46784</v>
      </c>
      <c r="B63" s="21"/>
      <c r="C63" s="20"/>
      <c r="D63" s="7" t="str">
        <f>IF(Tabela13[[#This Row],[Despesa Realizado]]="","",Tabela13[[#This Row],[Receita Realizado]]-Tabela13[[#This Row],[Despesa Realizado]])</f>
        <v/>
      </c>
      <c r="E63" s="15"/>
      <c r="F63" s="7">
        <f>IF(Tabela13[[#This Row],[Aporte Realizado]]="",0,Tabela13[[#This Row],[Investimentos Realizado]]-I62-Tabela13[[#This Row],[Aporte Realizado]])</f>
        <v>0</v>
      </c>
      <c r="G63" s="5" t="str">
        <f>IF(Tabela13[[#This Row],[Aporte Realizado]]="","",Tabela13[[#This Row],[Rendimento Realizado R$]]/(Tabela13[[#This Row],[Investimentos Realizado]]-(Tabela13[[#This Row],[Aporte Realizado]])))</f>
        <v/>
      </c>
      <c r="H63" s="16"/>
      <c r="I63" s="17"/>
      <c r="J63" s="17"/>
      <c r="K63" s="17"/>
      <c r="L6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3" s="17">
        <v>17500</v>
      </c>
      <c r="N63" s="17">
        <v>14900</v>
      </c>
      <c r="O63" s="8">
        <f>Tabela13[[#This Row],[Receita Previsto]]-Tabela13[[#This Row],[Despesa Previsto]]</f>
        <v>2600</v>
      </c>
      <c r="P63" s="8">
        <f>Tabela13[[#This Row],[Receita Previsto]]-Tabela13[[#This Row],[Despesa Previsto]]</f>
        <v>2600</v>
      </c>
      <c r="Q63" s="7">
        <f t="shared" si="4"/>
        <v>2716.0497168007983</v>
      </c>
      <c r="R63" s="5">
        <v>8.8999999999999999E-3</v>
      </c>
      <c r="S63" s="7">
        <f>S62+Q63+Tabela13[[#This Row],[Geração Caixa Previsto]]+Tabela13[[#This Row],[Aporte Previsto]]</f>
        <v>313090.17520003655</v>
      </c>
      <c r="T63" s="15">
        <f t="shared" si="1"/>
        <v>122222.48315027112</v>
      </c>
      <c r="U63" s="15">
        <f t="shared" si="3"/>
        <v>217817.51874736717</v>
      </c>
      <c r="V63" s="15">
        <f t="shared" si="2"/>
        <v>34758.281539139265</v>
      </c>
      <c r="W63" s="1">
        <f>Tabela13[[#This Row],[Apto Previsto]]+Tabela13[[#This Row],[Carro Previsto]]</f>
        <v>252575.80028650642</v>
      </c>
      <c r="X63" s="1">
        <f>Tabela13[[#This Row],[ Investimento Previsto]]-Tabela13[[#This Row],[Dívidas Previsto]]+Tabela13[[#This Row],[Outros Patrimônios]]</f>
        <v>443443.49233627185</v>
      </c>
    </row>
    <row r="64" spans="1:24" x14ac:dyDescent="0.3">
      <c r="A64" s="6">
        <v>46813</v>
      </c>
      <c r="B64" s="21"/>
      <c r="C64" s="20"/>
      <c r="D64" s="7" t="str">
        <f>IF(Tabela13[[#This Row],[Despesa Realizado]]="","",Tabela13[[#This Row],[Receita Realizado]]-Tabela13[[#This Row],[Despesa Realizado]])</f>
        <v/>
      </c>
      <c r="E64" s="15"/>
      <c r="F64" s="7">
        <f>IF(Tabela13[[#This Row],[Aporte Realizado]]="",0,Tabela13[[#This Row],[Investimentos Realizado]]-I63-Tabela13[[#This Row],[Aporte Realizado]])</f>
        <v>0</v>
      </c>
      <c r="G64" s="5" t="str">
        <f>IF(Tabela13[[#This Row],[Aporte Realizado]]="","",Tabela13[[#This Row],[Rendimento Realizado R$]]/(Tabela13[[#This Row],[Investimentos Realizado]]-(Tabela13[[#This Row],[Aporte Realizado]])))</f>
        <v/>
      </c>
      <c r="H64" s="16"/>
      <c r="I64" s="17"/>
      <c r="J64" s="17"/>
      <c r="K64" s="17"/>
      <c r="L6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4" s="17">
        <v>17500</v>
      </c>
      <c r="N64" s="17">
        <v>14900</v>
      </c>
      <c r="O64" s="8">
        <f>Tabela13[[#This Row],[Receita Previsto]]-Tabela13[[#This Row],[Despesa Previsto]]</f>
        <v>2600</v>
      </c>
      <c r="P64" s="8">
        <f>Tabela13[[#This Row],[Receita Previsto]]-Tabela13[[#This Row],[Despesa Previsto]]</f>
        <v>2600</v>
      </c>
      <c r="Q64" s="7">
        <f t="shared" si="4"/>
        <v>2786.5025592803254</v>
      </c>
      <c r="R64" s="5">
        <v>8.8999999999999999E-3</v>
      </c>
      <c r="S64" s="7">
        <f>S63+Q64+Tabela13[[#This Row],[Geração Caixa Previsto]]+Tabela13[[#This Row],[Aporte Previsto]]</f>
        <v>321076.67775931687</v>
      </c>
      <c r="T64" s="15">
        <f t="shared" si="1"/>
        <v>121941.37143902549</v>
      </c>
      <c r="U64" s="15">
        <f t="shared" si="3"/>
        <v>218122.46327361351</v>
      </c>
      <c r="V64" s="15">
        <f t="shared" si="2"/>
        <v>34678.337491599246</v>
      </c>
      <c r="W64" s="1">
        <f>Tabela13[[#This Row],[Apto Previsto]]+Tabela13[[#This Row],[Carro Previsto]]</f>
        <v>252800.80076521274</v>
      </c>
      <c r="X64" s="1">
        <f>Tabela13[[#This Row],[ Investimento Previsto]]-Tabela13[[#This Row],[Dívidas Previsto]]+Tabela13[[#This Row],[Outros Patrimônios]]</f>
        <v>451936.1070855041</v>
      </c>
    </row>
    <row r="65" spans="1:24" x14ac:dyDescent="0.3">
      <c r="A65" s="6">
        <v>46844</v>
      </c>
      <c r="B65" s="21"/>
      <c r="C65" s="20"/>
      <c r="D65" s="7" t="str">
        <f>IF(Tabela13[[#This Row],[Despesa Realizado]]="","",Tabela13[[#This Row],[Receita Realizado]]-Tabela13[[#This Row],[Despesa Realizado]])</f>
        <v/>
      </c>
      <c r="E65" s="15"/>
      <c r="F65" s="7">
        <f>IF(Tabela13[[#This Row],[Aporte Realizado]]="",0,Tabela13[[#This Row],[Investimentos Realizado]]-I64-Tabela13[[#This Row],[Aporte Realizado]])</f>
        <v>0</v>
      </c>
      <c r="G65" s="5" t="str">
        <f>IF(Tabela13[[#This Row],[Aporte Realizado]]="","",Tabela13[[#This Row],[Rendimento Realizado R$]]/(Tabela13[[#This Row],[Investimentos Realizado]]-(Tabela13[[#This Row],[Aporte Realizado]])))</f>
        <v/>
      </c>
      <c r="H65" s="16"/>
      <c r="I65" s="17"/>
      <c r="J65" s="17"/>
      <c r="K65" s="17"/>
      <c r="L6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5" s="17">
        <v>17500</v>
      </c>
      <c r="N65" s="17">
        <v>14900</v>
      </c>
      <c r="O65" s="8">
        <f>Tabela13[[#This Row],[Receita Previsto]]-Tabela13[[#This Row],[Despesa Previsto]]</f>
        <v>2600</v>
      </c>
      <c r="P65" s="8">
        <f>Tabela13[[#This Row],[Receita Previsto]]-Tabela13[[#This Row],[Despesa Previsto]]</f>
        <v>2600</v>
      </c>
      <c r="Q65" s="7">
        <f t="shared" si="4"/>
        <v>2857.58243205792</v>
      </c>
      <c r="R65" s="5">
        <v>8.8999999999999999E-3</v>
      </c>
      <c r="S65" s="7">
        <f>S64+Q65+Tabela13[[#This Row],[Geração Caixa Previsto]]+Tabela13[[#This Row],[Aporte Previsto]]</f>
        <v>329134.26019137481</v>
      </c>
      <c r="T65" s="15">
        <f t="shared" si="1"/>
        <v>121660.90628471573</v>
      </c>
      <c r="U65" s="15">
        <f t="shared" si="3"/>
        <v>218427.8347221966</v>
      </c>
      <c r="V65" s="15">
        <f t="shared" si="2"/>
        <v>34598.577315368566</v>
      </c>
      <c r="W65" s="1">
        <f>Tabela13[[#This Row],[Apto Previsto]]+Tabela13[[#This Row],[Carro Previsto]]</f>
        <v>253026.41203756517</v>
      </c>
      <c r="X65" s="1">
        <f>Tabela13[[#This Row],[ Investimento Previsto]]-Tabela13[[#This Row],[Dívidas Previsto]]+Tabela13[[#This Row],[Outros Patrimônios]]</f>
        <v>460499.7659442242</v>
      </c>
    </row>
    <row r="66" spans="1:24" x14ac:dyDescent="0.3">
      <c r="A66" s="6">
        <v>46874</v>
      </c>
      <c r="B66" s="21"/>
      <c r="C66" s="20"/>
      <c r="D66" s="7" t="str">
        <f>IF(Tabela13[[#This Row],[Despesa Realizado]]="","",Tabela13[[#This Row],[Receita Realizado]]-Tabela13[[#This Row],[Despesa Realizado]])</f>
        <v/>
      </c>
      <c r="E66" s="15"/>
      <c r="F66" s="7">
        <f>IF(Tabela13[[#This Row],[Aporte Realizado]]="",0,Tabela13[[#This Row],[Investimentos Realizado]]-I65-Tabela13[[#This Row],[Aporte Realizado]])</f>
        <v>0</v>
      </c>
      <c r="G66" s="5" t="str">
        <f>IF(Tabela13[[#This Row],[Aporte Realizado]]="","",Tabela13[[#This Row],[Rendimento Realizado R$]]/(Tabela13[[#This Row],[Investimentos Realizado]]-(Tabela13[[#This Row],[Aporte Realizado]])))</f>
        <v/>
      </c>
      <c r="H66" s="16"/>
      <c r="I66" s="17"/>
      <c r="J66" s="17"/>
      <c r="K66" s="17"/>
      <c r="L6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6" s="17">
        <v>17500</v>
      </c>
      <c r="N66" s="17">
        <v>14900</v>
      </c>
      <c r="O66" s="8">
        <f>Tabela13[[#This Row],[Receita Previsto]]-Tabela13[[#This Row],[Despesa Previsto]]</f>
        <v>2600</v>
      </c>
      <c r="P66" s="8">
        <f>Tabela13[[#This Row],[Receita Previsto]]-Tabela13[[#This Row],[Despesa Previsto]]</f>
        <v>2600</v>
      </c>
      <c r="Q66" s="7">
        <f t="shared" si="4"/>
        <v>2929.2949157032358</v>
      </c>
      <c r="R66" s="5">
        <v>8.8999999999999999E-3</v>
      </c>
      <c r="S66" s="7">
        <f>S65+Q66+Tabela13[[#This Row],[Geração Caixa Previsto]]+Tabela13[[#This Row],[Aporte Previsto]]</f>
        <v>337263.55510707805</v>
      </c>
      <c r="T66" s="15">
        <f t="shared" si="1"/>
        <v>121381.08620026089</v>
      </c>
      <c r="U66" s="15">
        <f t="shared" si="3"/>
        <v>218733.63369080768</v>
      </c>
      <c r="V66" s="15">
        <f t="shared" si="2"/>
        <v>34519.000587543218</v>
      </c>
      <c r="W66" s="1">
        <f>Tabela13[[#This Row],[Apto Previsto]]+Tabela13[[#This Row],[Carro Previsto]]</f>
        <v>253252.63427835089</v>
      </c>
      <c r="X66" s="1">
        <f>Tabela13[[#This Row],[ Investimento Previsto]]-Tabela13[[#This Row],[Dívidas Previsto]]+Tabela13[[#This Row],[Outros Patrimônios]]</f>
        <v>469135.103185168</v>
      </c>
    </row>
    <row r="67" spans="1:24" x14ac:dyDescent="0.3">
      <c r="A67" s="6">
        <v>46905</v>
      </c>
      <c r="B67" s="21"/>
      <c r="C67" s="20"/>
      <c r="D67" s="7" t="str">
        <f>IF(Tabela13[[#This Row],[Despesa Realizado]]="","",Tabela13[[#This Row],[Receita Realizado]]-Tabela13[[#This Row],[Despesa Realizado]])</f>
        <v/>
      </c>
      <c r="E67" s="15"/>
      <c r="F67" s="7">
        <f>IF(Tabela13[[#This Row],[Aporte Realizado]]="",0,Tabela13[[#This Row],[Investimentos Realizado]]-I66-Tabela13[[#This Row],[Aporte Realizado]])</f>
        <v>0</v>
      </c>
      <c r="G67" s="5" t="str">
        <f>IF(Tabela13[[#This Row],[Aporte Realizado]]="","",Tabela13[[#This Row],[Rendimento Realizado R$]]/(Tabela13[[#This Row],[Investimentos Realizado]]-(Tabela13[[#This Row],[Aporte Realizado]])))</f>
        <v/>
      </c>
      <c r="H67" s="16"/>
      <c r="I67" s="17"/>
      <c r="J67" s="17"/>
      <c r="K67" s="17"/>
      <c r="L6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7" s="17">
        <v>17500</v>
      </c>
      <c r="N67" s="17">
        <v>14900</v>
      </c>
      <c r="O67" s="8">
        <f>Tabela13[[#This Row],[Receita Previsto]]-Tabela13[[#This Row],[Despesa Previsto]]</f>
        <v>2600</v>
      </c>
      <c r="P67" s="8">
        <f>Tabela13[[#This Row],[Receita Previsto]]-Tabela13[[#This Row],[Despesa Previsto]]</f>
        <v>2600</v>
      </c>
      <c r="Q67" s="7">
        <f t="shared" ref="Q67:Q73" si="5">S66*R67</f>
        <v>3001.6456404529945</v>
      </c>
      <c r="R67" s="5">
        <v>8.8999999999999999E-3</v>
      </c>
      <c r="S67" s="7">
        <f>S66+Q67+Tabela13[[#This Row],[Geração Caixa Previsto]]+Tabela13[[#This Row],[Aporte Previsto]]</f>
        <v>345465.20074753102</v>
      </c>
      <c r="T67" s="15">
        <f t="shared" si="1"/>
        <v>121101.9097020003</v>
      </c>
      <c r="U67" s="15">
        <f t="shared" si="3"/>
        <v>219039.86077797483</v>
      </c>
      <c r="V67" s="15">
        <f t="shared" si="2"/>
        <v>34439.606886191868</v>
      </c>
      <c r="W67" s="1">
        <f>Tabela13[[#This Row],[Apto Previsto]]+Tabela13[[#This Row],[Carro Previsto]]</f>
        <v>253479.4676641667</v>
      </c>
      <c r="X67" s="1">
        <f>Tabela13[[#This Row],[ Investimento Previsto]]-Tabela13[[#This Row],[Dívidas Previsto]]+Tabela13[[#This Row],[Outros Patrimônios]]</f>
        <v>477842.7587096974</v>
      </c>
    </row>
    <row r="68" spans="1:24" x14ac:dyDescent="0.3">
      <c r="A68" s="6">
        <v>46935</v>
      </c>
      <c r="B68" s="21"/>
      <c r="C68" s="20"/>
      <c r="D68" s="7" t="str">
        <f>IF(Tabela13[[#This Row],[Despesa Realizado]]="","",Tabela13[[#This Row],[Receita Realizado]]-Tabela13[[#This Row],[Despesa Realizado]])</f>
        <v/>
      </c>
      <c r="E68" s="15"/>
      <c r="F68" s="7">
        <f>IF(Tabela13[[#This Row],[Aporte Realizado]]="",0,Tabela13[[#This Row],[Investimentos Realizado]]-I67-Tabela13[[#This Row],[Aporte Realizado]])</f>
        <v>0</v>
      </c>
      <c r="G68" s="5" t="str">
        <f>IF(Tabela13[[#This Row],[Aporte Realizado]]="","",Tabela13[[#This Row],[Rendimento Realizado R$]]/(Tabela13[[#This Row],[Investimentos Realizado]]-(Tabela13[[#This Row],[Aporte Realizado]])))</f>
        <v/>
      </c>
      <c r="H68" s="16"/>
      <c r="I68" s="17"/>
      <c r="J68" s="17"/>
      <c r="K68" s="17"/>
      <c r="L6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8" s="17">
        <v>17500</v>
      </c>
      <c r="N68" s="17">
        <v>14900</v>
      </c>
      <c r="O68" s="8">
        <f>Tabela13[[#This Row],[Receita Previsto]]-Tabela13[[#This Row],[Despesa Previsto]]</f>
        <v>2600</v>
      </c>
      <c r="P68" s="8">
        <f>Tabela13[[#This Row],[Receita Previsto]]-Tabela13[[#This Row],[Despesa Previsto]]</f>
        <v>2600</v>
      </c>
      <c r="Q68" s="7">
        <f t="shared" si="5"/>
        <v>3074.6402866530261</v>
      </c>
      <c r="R68" s="5">
        <v>8.8999999999999999E-3</v>
      </c>
      <c r="S68" s="7">
        <f>S67+Q68+Tabela13[[#This Row],[Geração Caixa Previsto]]+Tabela13[[#This Row],[Aporte Previsto]]</f>
        <v>353739.84103418404</v>
      </c>
      <c r="T68" s="15">
        <f t="shared" ref="T68:T131" si="6">T67*0.9977</f>
        <v>120823.3753096857</v>
      </c>
      <c r="U68" s="15">
        <f t="shared" si="3"/>
        <v>219346.51658306402</v>
      </c>
      <c r="V68" s="15">
        <f t="shared" ref="V68:V131" si="7">V67*0.9977</f>
        <v>34360.395790353628</v>
      </c>
      <c r="W68" s="1">
        <f>Tabela13[[#This Row],[Apto Previsto]]+Tabela13[[#This Row],[Carro Previsto]]</f>
        <v>253706.91237341764</v>
      </c>
      <c r="X68" s="1">
        <f>Tabela13[[#This Row],[ Investimento Previsto]]-Tabela13[[#This Row],[Dívidas Previsto]]+Tabela13[[#This Row],[Outros Patrimônios]]</f>
        <v>486623.37809791596</v>
      </c>
    </row>
    <row r="69" spans="1:24" x14ac:dyDescent="0.3">
      <c r="A69" s="6">
        <v>46966</v>
      </c>
      <c r="B69" s="21"/>
      <c r="C69" s="20"/>
      <c r="D69" s="7" t="str">
        <f>IF(Tabela13[[#This Row],[Despesa Realizado]]="","",Tabela13[[#This Row],[Receita Realizado]]-Tabela13[[#This Row],[Despesa Realizado]])</f>
        <v/>
      </c>
      <c r="E69" s="15"/>
      <c r="F69" s="7">
        <f>IF(Tabela13[[#This Row],[Aporte Realizado]]="",0,Tabela13[[#This Row],[Investimentos Realizado]]-I68-Tabela13[[#This Row],[Aporte Realizado]])</f>
        <v>0</v>
      </c>
      <c r="G69" s="5" t="str">
        <f>IF(Tabela13[[#This Row],[Aporte Realizado]]="","",Tabela13[[#This Row],[Rendimento Realizado R$]]/(Tabela13[[#This Row],[Investimentos Realizado]]-(Tabela13[[#This Row],[Aporte Realizado]])))</f>
        <v/>
      </c>
      <c r="H69" s="16"/>
      <c r="I69" s="17"/>
      <c r="J69" s="17"/>
      <c r="K69" s="17"/>
      <c r="L6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69" s="17">
        <v>17500</v>
      </c>
      <c r="N69" s="17">
        <v>14900</v>
      </c>
      <c r="O69" s="8">
        <f>Tabela13[[#This Row],[Receita Previsto]]-Tabela13[[#This Row],[Despesa Previsto]]</f>
        <v>2600</v>
      </c>
      <c r="P69" s="8">
        <f>Tabela13[[#This Row],[Receita Previsto]]-Tabela13[[#This Row],[Despesa Previsto]]</f>
        <v>2600</v>
      </c>
      <c r="Q69" s="7">
        <f t="shared" si="5"/>
        <v>3148.2845852042378</v>
      </c>
      <c r="R69" s="5">
        <v>8.8999999999999999E-3</v>
      </c>
      <c r="S69" s="7">
        <f>S68+Q69+Tabela13[[#This Row],[Geração Caixa Previsto]]+Tabela13[[#This Row],[Aporte Previsto]]</f>
        <v>362088.1256193883</v>
      </c>
      <c r="T69" s="15">
        <f t="shared" si="6"/>
        <v>120545.48154647343</v>
      </c>
      <c r="U69" s="15">
        <f t="shared" ref="U69:U132" si="8">(U68*1.0014)</f>
        <v>219653.60170628031</v>
      </c>
      <c r="V69" s="15">
        <f t="shared" si="7"/>
        <v>34281.366880035814</v>
      </c>
      <c r="W69" s="1">
        <f>Tabela13[[#This Row],[Apto Previsto]]+Tabela13[[#This Row],[Carro Previsto]]</f>
        <v>253934.96858631613</v>
      </c>
      <c r="X69" s="1">
        <f>Tabela13[[#This Row],[ Investimento Previsto]]-Tabela13[[#This Row],[Dívidas Previsto]]+Tabela13[[#This Row],[Outros Patrimônios]]</f>
        <v>495477.612659231</v>
      </c>
    </row>
    <row r="70" spans="1:24" x14ac:dyDescent="0.3">
      <c r="A70" s="6">
        <v>46997</v>
      </c>
      <c r="B70" s="21"/>
      <c r="C70" s="20"/>
      <c r="D70" s="7" t="str">
        <f>IF(Tabela13[[#This Row],[Despesa Realizado]]="","",Tabela13[[#This Row],[Receita Realizado]]-Tabela13[[#This Row],[Despesa Realizado]])</f>
        <v/>
      </c>
      <c r="E70" s="15"/>
      <c r="F70" s="7">
        <f>IF(Tabela13[[#This Row],[Aporte Realizado]]="",0,Tabela13[[#This Row],[Investimentos Realizado]]-I69-Tabela13[[#This Row],[Aporte Realizado]])</f>
        <v>0</v>
      </c>
      <c r="G70" s="5" t="str">
        <f>IF(Tabela13[[#This Row],[Aporte Realizado]]="","",Tabela13[[#This Row],[Rendimento Realizado R$]]/(Tabela13[[#This Row],[Investimentos Realizado]]-(Tabela13[[#This Row],[Aporte Realizado]])))</f>
        <v/>
      </c>
      <c r="H70" s="16"/>
      <c r="I70" s="17"/>
      <c r="J70" s="17"/>
      <c r="K70" s="17"/>
      <c r="L7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0" s="17">
        <v>17500</v>
      </c>
      <c r="N70" s="17">
        <v>14900</v>
      </c>
      <c r="O70" s="8">
        <f>Tabela13[[#This Row],[Receita Previsto]]-Tabela13[[#This Row],[Despesa Previsto]]</f>
        <v>2600</v>
      </c>
      <c r="P70" s="8">
        <f>Tabela13[[#This Row],[Receita Previsto]]-Tabela13[[#This Row],[Despesa Previsto]]</f>
        <v>2600</v>
      </c>
      <c r="Q70" s="7">
        <f t="shared" si="5"/>
        <v>3222.5843180125557</v>
      </c>
      <c r="R70" s="5">
        <v>8.8999999999999999E-3</v>
      </c>
      <c r="S70" s="7">
        <f>S69+Q70+Tabela13[[#This Row],[Geração Caixa Previsto]]+Tabela13[[#This Row],[Aporte Previsto]]</f>
        <v>370510.70993740088</v>
      </c>
      <c r="T70" s="15">
        <f t="shared" si="6"/>
        <v>120268.22693891654</v>
      </c>
      <c r="U70" s="15">
        <f t="shared" si="8"/>
        <v>219961.11674866913</v>
      </c>
      <c r="V70" s="15">
        <f t="shared" si="7"/>
        <v>34202.519736211732</v>
      </c>
      <c r="W70" s="1">
        <f>Tabela13[[#This Row],[Apto Previsto]]+Tabela13[[#This Row],[Carro Previsto]]</f>
        <v>254163.63648488087</v>
      </c>
      <c r="X70" s="1">
        <f>Tabela13[[#This Row],[ Investimento Previsto]]-Tabela13[[#This Row],[Dívidas Previsto]]+Tabela13[[#This Row],[Outros Patrimônios]]</f>
        <v>504406.11948336521</v>
      </c>
    </row>
    <row r="71" spans="1:24" x14ac:dyDescent="0.3">
      <c r="A71" s="6">
        <v>47027</v>
      </c>
      <c r="B71" s="21"/>
      <c r="C71" s="20"/>
      <c r="D71" s="7" t="str">
        <f>IF(Tabela13[[#This Row],[Despesa Realizado]]="","",Tabela13[[#This Row],[Receita Realizado]]-Tabela13[[#This Row],[Despesa Realizado]])</f>
        <v/>
      </c>
      <c r="E71" s="15"/>
      <c r="F71" s="7">
        <f>IF(Tabela13[[#This Row],[Aporte Realizado]]="",0,Tabela13[[#This Row],[Investimentos Realizado]]-I70-Tabela13[[#This Row],[Aporte Realizado]])</f>
        <v>0</v>
      </c>
      <c r="G71" s="5" t="str">
        <f>IF(Tabela13[[#This Row],[Aporte Realizado]]="","",Tabela13[[#This Row],[Rendimento Realizado R$]]/(Tabela13[[#This Row],[Investimentos Realizado]]-(Tabela13[[#This Row],[Aporte Realizado]])))</f>
        <v/>
      </c>
      <c r="H71" s="16"/>
      <c r="I71" s="17"/>
      <c r="J71" s="17"/>
      <c r="K71" s="17"/>
      <c r="L7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1" s="17">
        <v>17500</v>
      </c>
      <c r="N71" s="17">
        <v>14900</v>
      </c>
      <c r="O71" s="8">
        <f>Tabela13[[#This Row],[Receita Previsto]]-Tabela13[[#This Row],[Despesa Previsto]]</f>
        <v>2600</v>
      </c>
      <c r="P71" s="8">
        <f>Tabela13[[#This Row],[Receita Previsto]]-Tabela13[[#This Row],[Despesa Previsto]]</f>
        <v>2600</v>
      </c>
      <c r="Q71" s="7">
        <f t="shared" si="5"/>
        <v>3297.5453184428679</v>
      </c>
      <c r="R71" s="5">
        <v>8.8999999999999999E-3</v>
      </c>
      <c r="S71" s="7">
        <f>S70+Q71+Tabela13[[#This Row],[Geração Caixa Previsto]]+Tabela13[[#This Row],[Aporte Previsto]]</f>
        <v>379008.25525584375</v>
      </c>
      <c r="T71" s="15">
        <f t="shared" si="6"/>
        <v>119991.61001695704</v>
      </c>
      <c r="U71" s="15">
        <f t="shared" si="8"/>
        <v>220269.06231211728</v>
      </c>
      <c r="V71" s="15">
        <f t="shared" si="7"/>
        <v>34123.853940818444</v>
      </c>
      <c r="W71" s="1">
        <f>Tabela13[[#This Row],[Apto Previsto]]+Tabela13[[#This Row],[Carro Previsto]]</f>
        <v>254392.91625293571</v>
      </c>
      <c r="X71" s="1">
        <f>Tabela13[[#This Row],[ Investimento Previsto]]-Tabela13[[#This Row],[Dívidas Previsto]]+Tabela13[[#This Row],[Outros Patrimônios]]</f>
        <v>513409.56149182242</v>
      </c>
    </row>
    <row r="72" spans="1:24" x14ac:dyDescent="0.3">
      <c r="A72" s="6">
        <v>47058</v>
      </c>
      <c r="B72" s="21"/>
      <c r="C72" s="20"/>
      <c r="D72" s="7" t="str">
        <f>IF(Tabela13[[#This Row],[Despesa Realizado]]="","",Tabela13[[#This Row],[Receita Realizado]]-Tabela13[[#This Row],[Despesa Realizado]])</f>
        <v/>
      </c>
      <c r="E72" s="15"/>
      <c r="F72" s="7">
        <f>IF(Tabela13[[#This Row],[Aporte Realizado]]="",0,Tabela13[[#This Row],[Investimentos Realizado]]-I71-Tabela13[[#This Row],[Aporte Realizado]])</f>
        <v>0</v>
      </c>
      <c r="G72" s="5" t="str">
        <f>IF(Tabela13[[#This Row],[Aporte Realizado]]="","",Tabela13[[#This Row],[Rendimento Realizado R$]]/(Tabela13[[#This Row],[Investimentos Realizado]]-(Tabela13[[#This Row],[Aporte Realizado]])))</f>
        <v/>
      </c>
      <c r="H72" s="16"/>
      <c r="I72" s="17"/>
      <c r="J72" s="17"/>
      <c r="K72" s="17"/>
      <c r="L7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2" s="17">
        <v>17500</v>
      </c>
      <c r="N72" s="17">
        <v>14900</v>
      </c>
      <c r="O72" s="8">
        <f>Tabela13[[#This Row],[Receita Previsto]]-Tabela13[[#This Row],[Despesa Previsto]]</f>
        <v>2600</v>
      </c>
      <c r="P72" s="8">
        <f>Tabela13[[#This Row],[Receita Previsto]]-Tabela13[[#This Row],[Despesa Previsto]]</f>
        <v>2600</v>
      </c>
      <c r="Q72" s="7">
        <f t="shared" si="5"/>
        <v>3373.1734717770091</v>
      </c>
      <c r="R72" s="5">
        <v>8.8999999999999999E-3</v>
      </c>
      <c r="S72" s="7">
        <f>S71+Q72+Tabela13[[#This Row],[Geração Caixa Previsto]]+Tabela13[[#This Row],[Aporte Previsto]]</f>
        <v>387581.42872762075</v>
      </c>
      <c r="T72" s="15">
        <f t="shared" si="6"/>
        <v>119715.62931391805</v>
      </c>
      <c r="U72" s="15">
        <f t="shared" si="8"/>
        <v>220577.43899935426</v>
      </c>
      <c r="V72" s="15">
        <f t="shared" si="7"/>
        <v>34045.369076754563</v>
      </c>
      <c r="W72" s="1">
        <f>Tabela13[[#This Row],[Apto Previsto]]+Tabela13[[#This Row],[Carro Previsto]]</f>
        <v>254622.80807610881</v>
      </c>
      <c r="X72" s="1">
        <f>Tabela13[[#This Row],[ Investimento Previsto]]-Tabela13[[#This Row],[Dívidas Previsto]]+Tabela13[[#This Row],[Outros Patrimônios]]</f>
        <v>522488.60748981149</v>
      </c>
    </row>
    <row r="73" spans="1:24" x14ac:dyDescent="0.3">
      <c r="A73" s="6">
        <v>47088</v>
      </c>
      <c r="B73" s="21"/>
      <c r="C73" s="20"/>
      <c r="D73" s="7" t="str">
        <f>IF(Tabela13[[#This Row],[Despesa Realizado]]="","",Tabela13[[#This Row],[Receita Realizado]]-Tabela13[[#This Row],[Despesa Realizado]])</f>
        <v/>
      </c>
      <c r="E73" s="15"/>
      <c r="F73" s="7">
        <f>IF(Tabela13[[#This Row],[Aporte Realizado]]="",0,Tabela13[[#This Row],[Investimentos Realizado]]-I72-Tabela13[[#This Row],[Aporte Realizado]])</f>
        <v>0</v>
      </c>
      <c r="G73" s="5" t="str">
        <f>IF(Tabela13[[#This Row],[Aporte Realizado]]="","",Tabela13[[#This Row],[Rendimento Realizado R$]]/(Tabela13[[#This Row],[Investimentos Realizado]]-(Tabela13[[#This Row],[Aporte Realizado]])))</f>
        <v/>
      </c>
      <c r="H73" s="16"/>
      <c r="I73" s="17"/>
      <c r="J73" s="17"/>
      <c r="K73" s="17"/>
      <c r="L7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3" s="17">
        <v>17500</v>
      </c>
      <c r="N73" s="17">
        <v>14900</v>
      </c>
      <c r="O73" s="8">
        <f>Tabela13[[#This Row],[Receita Previsto]]-Tabela13[[#This Row],[Despesa Previsto]]</f>
        <v>2600</v>
      </c>
      <c r="P73" s="8">
        <f>Tabela13[[#This Row],[Receita Previsto]]-Tabela13[[#This Row],[Despesa Previsto]]</f>
        <v>2600</v>
      </c>
      <c r="Q73" s="7">
        <f t="shared" si="5"/>
        <v>3449.4747156758244</v>
      </c>
      <c r="R73" s="5">
        <v>8.8999999999999999E-3</v>
      </c>
      <c r="S73" s="7">
        <f>S72+Q73+Tabela13[[#This Row],[Geração Caixa Previsto]]+Tabela13[[#This Row],[Aporte Previsto]]</f>
        <v>396230.90344329656</v>
      </c>
      <c r="T73" s="15">
        <f t="shared" si="6"/>
        <v>119440.28336649603</v>
      </c>
      <c r="U73" s="15">
        <f t="shared" si="8"/>
        <v>220886.24741395336</v>
      </c>
      <c r="V73" s="15">
        <f t="shared" si="7"/>
        <v>33967.064727878031</v>
      </c>
      <c r="W73" s="1">
        <f>Tabela13[[#This Row],[Apto Previsto]]+Tabela13[[#This Row],[Carro Previsto]]</f>
        <v>254853.31214183138</v>
      </c>
      <c r="X73" s="1">
        <f>Tabela13[[#This Row],[ Investimento Previsto]]-Tabela13[[#This Row],[Dívidas Previsto]]+Tabela13[[#This Row],[Outros Patrimônios]]</f>
        <v>531643.93221863196</v>
      </c>
    </row>
    <row r="74" spans="1:24" x14ac:dyDescent="0.3">
      <c r="A74" s="6">
        <v>47119</v>
      </c>
      <c r="B74" s="21"/>
      <c r="C74" s="20"/>
      <c r="D74" s="7" t="str">
        <f>IF(Tabela13[[#This Row],[Despesa Realizado]]="","",Tabela13[[#This Row],[Receita Realizado]]-Tabela13[[#This Row],[Despesa Realizado]])</f>
        <v/>
      </c>
      <c r="E74" s="15"/>
      <c r="F74" s="7">
        <f>IF(Tabela13[[#This Row],[Aporte Realizado]]="",0,Tabela13[[#This Row],[Investimentos Realizado]]-I73-Tabela13[[#This Row],[Aporte Realizado]])</f>
        <v>0</v>
      </c>
      <c r="G74" s="5" t="str">
        <f>IF(Tabela13[[#This Row],[Aporte Realizado]]="","",Tabela13[[#This Row],[Rendimento Realizado R$]]/(Tabela13[[#This Row],[Investimentos Realizado]]-(Tabela13[[#This Row],[Aporte Realizado]])))</f>
        <v/>
      </c>
      <c r="H74" s="16"/>
      <c r="I74" s="17"/>
      <c r="J74" s="17"/>
      <c r="K74" s="17"/>
      <c r="L7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4" s="17">
        <v>17800</v>
      </c>
      <c r="N74" s="17">
        <v>15000</v>
      </c>
      <c r="O74" s="8">
        <f>Tabela13[[#This Row],[Receita Previsto]]-Tabela13[[#This Row],[Despesa Previsto]]</f>
        <v>2800</v>
      </c>
      <c r="P74" s="8">
        <f>Tabela13[[#This Row],[Receita Previsto]]-Tabela13[[#This Row],[Despesa Previsto]]</f>
        <v>2800</v>
      </c>
      <c r="Q74" s="1">
        <f t="shared" ref="Q74:Q121" si="9">S73*R74</f>
        <v>3526.4550406453395</v>
      </c>
      <c r="R74" s="5">
        <v>8.8999999999999999E-3</v>
      </c>
      <c r="S74" s="7">
        <f>S73+Q74+Tabela13[[#This Row],[Geração Caixa Previsto]]+Tabela13[[#This Row],[Aporte Previsto]]</f>
        <v>405357.35848394188</v>
      </c>
      <c r="T74" s="15">
        <f t="shared" si="6"/>
        <v>119165.57071475309</v>
      </c>
      <c r="U74" s="15">
        <f t="shared" si="8"/>
        <v>221195.4881603329</v>
      </c>
      <c r="V74" s="15">
        <f t="shared" si="7"/>
        <v>33888.940479003912</v>
      </c>
      <c r="W74" s="1">
        <f>Tabela13[[#This Row],[Apto Previsto]]+Tabela13[[#This Row],[Carro Previsto]]</f>
        <v>255084.42863933681</v>
      </c>
      <c r="X74" s="1">
        <f>Tabela13[[#This Row],[ Investimento Previsto]]-Tabela13[[#This Row],[Dívidas Previsto]]+Tabela13[[#This Row],[Outros Patrimônios]]</f>
        <v>541276.21640852559</v>
      </c>
    </row>
    <row r="75" spans="1:24" x14ac:dyDescent="0.3">
      <c r="A75" s="6">
        <v>47150</v>
      </c>
      <c r="B75" s="21"/>
      <c r="C75" s="20"/>
      <c r="D75" s="7" t="str">
        <f>IF(Tabela13[[#This Row],[Despesa Realizado]]="","",Tabela13[[#This Row],[Receita Realizado]]-Tabela13[[#This Row],[Despesa Realizado]])</f>
        <v/>
      </c>
      <c r="E75" s="15"/>
      <c r="F75" s="7">
        <f>IF(Tabela13[[#This Row],[Aporte Realizado]]="",0,Tabela13[[#This Row],[Investimentos Realizado]]-I74-Tabela13[[#This Row],[Aporte Realizado]])</f>
        <v>0</v>
      </c>
      <c r="G75" s="5" t="str">
        <f>IF(Tabela13[[#This Row],[Aporte Realizado]]="","",Tabela13[[#This Row],[Rendimento Realizado R$]]/(Tabela13[[#This Row],[Investimentos Realizado]]-(Tabela13[[#This Row],[Aporte Realizado]])))</f>
        <v/>
      </c>
      <c r="H75" s="16"/>
      <c r="I75" s="17"/>
      <c r="J75" s="17"/>
      <c r="K75" s="17"/>
      <c r="L7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5" s="17">
        <v>17800</v>
      </c>
      <c r="N75" s="17">
        <v>15000</v>
      </c>
      <c r="O75" s="8">
        <f>Tabela13[[#This Row],[Receita Previsto]]-Tabela13[[#This Row],[Despesa Previsto]]</f>
        <v>2800</v>
      </c>
      <c r="P75" s="8">
        <f>Tabela13[[#This Row],[Receita Previsto]]-Tabela13[[#This Row],[Despesa Previsto]]</f>
        <v>2800</v>
      </c>
      <c r="Q75" s="1">
        <f t="shared" si="9"/>
        <v>3607.6804905070826</v>
      </c>
      <c r="R75" s="5">
        <v>8.8999999999999999E-3</v>
      </c>
      <c r="S75" s="7">
        <f>S74+Q75+Tabela13[[#This Row],[Geração Caixa Previsto]]+Tabela13[[#This Row],[Aporte Previsto]]</f>
        <v>414565.03897444898</v>
      </c>
      <c r="T75" s="15">
        <f t="shared" si="6"/>
        <v>118891.48990210917</v>
      </c>
      <c r="U75" s="15">
        <f t="shared" si="8"/>
        <v>221505.16184375738</v>
      </c>
      <c r="V75" s="15">
        <f t="shared" si="7"/>
        <v>33810.995915902204</v>
      </c>
      <c r="W75" s="1">
        <f>Tabela13[[#This Row],[Apto Previsto]]+Tabela13[[#This Row],[Carro Previsto]]</f>
        <v>255316.15775965957</v>
      </c>
      <c r="X75" s="1">
        <f>Tabela13[[#This Row],[ Investimento Previsto]]-Tabela13[[#This Row],[Dívidas Previsto]]+Tabela13[[#This Row],[Outros Patrimônios]]</f>
        <v>550989.70683199936</v>
      </c>
    </row>
    <row r="76" spans="1:24" x14ac:dyDescent="0.3">
      <c r="A76" s="6">
        <v>47178</v>
      </c>
      <c r="B76" s="21"/>
      <c r="C76" s="20"/>
      <c r="D76" s="7" t="str">
        <f>IF(Tabela13[[#This Row],[Despesa Realizado]]="","",Tabela13[[#This Row],[Receita Realizado]]-Tabela13[[#This Row],[Despesa Realizado]])</f>
        <v/>
      </c>
      <c r="E76" s="15"/>
      <c r="F76" s="7">
        <f>IF(Tabela13[[#This Row],[Aporte Realizado]]="",0,Tabela13[[#This Row],[Investimentos Realizado]]-I75-Tabela13[[#This Row],[Aporte Realizado]])</f>
        <v>0</v>
      </c>
      <c r="G76" s="5" t="str">
        <f>IF(Tabela13[[#This Row],[Aporte Realizado]]="","",Tabela13[[#This Row],[Rendimento Realizado R$]]/(Tabela13[[#This Row],[Investimentos Realizado]]-(Tabela13[[#This Row],[Aporte Realizado]])))</f>
        <v/>
      </c>
      <c r="H76" s="16"/>
      <c r="I76" s="17"/>
      <c r="J76" s="17"/>
      <c r="K76" s="17"/>
      <c r="L7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6" s="17">
        <v>17800</v>
      </c>
      <c r="N76" s="17">
        <v>15000</v>
      </c>
      <c r="O76" s="8">
        <f>Tabela13[[#This Row],[Receita Previsto]]-Tabela13[[#This Row],[Despesa Previsto]]</f>
        <v>2800</v>
      </c>
      <c r="P76" s="8">
        <f>Tabela13[[#This Row],[Receita Previsto]]-Tabela13[[#This Row],[Despesa Previsto]]</f>
        <v>2800</v>
      </c>
      <c r="Q76" s="1">
        <f t="shared" si="9"/>
        <v>3689.6288468725961</v>
      </c>
      <c r="R76" s="5">
        <v>8.8999999999999999E-3</v>
      </c>
      <c r="S76" s="7">
        <f>S75+Q76+Tabela13[[#This Row],[Geração Caixa Previsto]]+Tabela13[[#This Row],[Aporte Previsto]]</f>
        <v>423854.66782132158</v>
      </c>
      <c r="T76" s="15">
        <f t="shared" si="6"/>
        <v>118618.03947533433</v>
      </c>
      <c r="U76" s="15">
        <f t="shared" si="8"/>
        <v>221815.26907033866</v>
      </c>
      <c r="V76" s="15">
        <f t="shared" si="7"/>
        <v>33733.230625295633</v>
      </c>
      <c r="W76" s="1">
        <f>Tabela13[[#This Row],[Apto Previsto]]+Tabela13[[#This Row],[Carro Previsto]]</f>
        <v>255548.49969563429</v>
      </c>
      <c r="X76" s="1">
        <f>Tabela13[[#This Row],[ Investimento Previsto]]-Tabela13[[#This Row],[Dívidas Previsto]]+Tabela13[[#This Row],[Outros Patrimônios]]</f>
        <v>560785.12804162153</v>
      </c>
    </row>
    <row r="77" spans="1:24" x14ac:dyDescent="0.3">
      <c r="A77" s="6">
        <v>47209</v>
      </c>
      <c r="B77" s="21"/>
      <c r="C77" s="20"/>
      <c r="D77" s="7" t="str">
        <f>IF(Tabela13[[#This Row],[Despesa Realizado]]="","",Tabela13[[#This Row],[Receita Realizado]]-Tabela13[[#This Row],[Despesa Realizado]])</f>
        <v/>
      </c>
      <c r="E77" s="15"/>
      <c r="F77" s="7">
        <f>IF(Tabela13[[#This Row],[Aporte Realizado]]="",0,Tabela13[[#This Row],[Investimentos Realizado]]-I76-Tabela13[[#This Row],[Aporte Realizado]])</f>
        <v>0</v>
      </c>
      <c r="G77" s="5" t="str">
        <f>IF(Tabela13[[#This Row],[Aporte Realizado]]="","",Tabela13[[#This Row],[Rendimento Realizado R$]]/(Tabela13[[#This Row],[Investimentos Realizado]]-(Tabela13[[#This Row],[Aporte Realizado]])))</f>
        <v/>
      </c>
      <c r="H77" s="16"/>
      <c r="I77" s="17"/>
      <c r="J77" s="17"/>
      <c r="K77" s="17"/>
      <c r="L7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7" s="17">
        <v>17800</v>
      </c>
      <c r="N77" s="17">
        <v>15000</v>
      </c>
      <c r="O77" s="8">
        <f>Tabela13[[#This Row],[Receita Previsto]]-Tabela13[[#This Row],[Despesa Previsto]]</f>
        <v>2800</v>
      </c>
      <c r="P77" s="8">
        <f>Tabela13[[#This Row],[Receita Previsto]]-Tabela13[[#This Row],[Despesa Previsto]]</f>
        <v>2800</v>
      </c>
      <c r="Q77" s="1">
        <f t="shared" si="9"/>
        <v>3772.3065436097622</v>
      </c>
      <c r="R77" s="5">
        <v>8.8999999999999999E-3</v>
      </c>
      <c r="S77" s="7">
        <f>S76+Q77+Tabela13[[#This Row],[Geração Caixa Previsto]]+Tabela13[[#This Row],[Aporte Previsto]]</f>
        <v>433226.97436493135</v>
      </c>
      <c r="T77" s="15">
        <f t="shared" si="6"/>
        <v>118345.21798454106</v>
      </c>
      <c r="U77" s="15">
        <f t="shared" si="8"/>
        <v>222125.81044703716</v>
      </c>
      <c r="V77" s="15">
        <f t="shared" si="7"/>
        <v>33655.644194857457</v>
      </c>
      <c r="W77" s="1">
        <f>Tabela13[[#This Row],[Apto Previsto]]+Tabela13[[#This Row],[Carro Previsto]]</f>
        <v>255781.45464189461</v>
      </c>
      <c r="X77" s="1">
        <f>Tabela13[[#This Row],[ Investimento Previsto]]-Tabela13[[#This Row],[Dívidas Previsto]]+Tabela13[[#This Row],[Outros Patrimônios]]</f>
        <v>570663.21102228481</v>
      </c>
    </row>
    <row r="78" spans="1:24" x14ac:dyDescent="0.3">
      <c r="A78" s="6">
        <v>47239</v>
      </c>
      <c r="B78" s="21"/>
      <c r="C78" s="20"/>
      <c r="D78" s="7" t="str">
        <f>IF(Tabela13[[#This Row],[Despesa Realizado]]="","",Tabela13[[#This Row],[Receita Realizado]]-Tabela13[[#This Row],[Despesa Realizado]])</f>
        <v/>
      </c>
      <c r="E78" s="15"/>
      <c r="F78" s="7">
        <f>IF(Tabela13[[#This Row],[Aporte Realizado]]="",0,Tabela13[[#This Row],[Investimentos Realizado]]-I77-Tabela13[[#This Row],[Aporte Realizado]])</f>
        <v>0</v>
      </c>
      <c r="G78" s="5" t="str">
        <f>IF(Tabela13[[#This Row],[Aporte Realizado]]="","",Tabela13[[#This Row],[Rendimento Realizado R$]]/(Tabela13[[#This Row],[Investimentos Realizado]]-(Tabela13[[#This Row],[Aporte Realizado]])))</f>
        <v/>
      </c>
      <c r="H78" s="16"/>
      <c r="I78" s="17"/>
      <c r="J78" s="17"/>
      <c r="K78" s="17"/>
      <c r="L7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8" s="17">
        <v>17800</v>
      </c>
      <c r="N78" s="17">
        <v>15000</v>
      </c>
      <c r="O78" s="8">
        <f>Tabela13[[#This Row],[Receita Previsto]]-Tabela13[[#This Row],[Despesa Previsto]]</f>
        <v>2800</v>
      </c>
      <c r="P78" s="8">
        <f>Tabela13[[#This Row],[Receita Previsto]]-Tabela13[[#This Row],[Despesa Previsto]]</f>
        <v>2800</v>
      </c>
      <c r="Q78" s="1">
        <f t="shared" si="9"/>
        <v>3855.7200718478889</v>
      </c>
      <c r="R78" s="5">
        <v>8.8999999999999999E-3</v>
      </c>
      <c r="S78" s="7">
        <f>S77+Q78+Tabela13[[#This Row],[Geração Caixa Previsto]]+Tabela13[[#This Row],[Aporte Previsto]]</f>
        <v>442682.69443677925</v>
      </c>
      <c r="T78" s="15">
        <f t="shared" si="6"/>
        <v>118073.02398317662</v>
      </c>
      <c r="U78" s="15">
        <f t="shared" si="8"/>
        <v>222436.78658166304</v>
      </c>
      <c r="V78" s="15">
        <f t="shared" si="7"/>
        <v>33578.236213209289</v>
      </c>
      <c r="W78" s="1">
        <f>Tabela13[[#This Row],[Apto Previsto]]+Tabela13[[#This Row],[Carro Previsto]]</f>
        <v>256015.02279487232</v>
      </c>
      <c r="X78" s="1">
        <f>Tabela13[[#This Row],[ Investimento Previsto]]-Tabela13[[#This Row],[Dívidas Previsto]]+Tabela13[[#This Row],[Outros Patrimônios]]</f>
        <v>580624.69324847497</v>
      </c>
    </row>
    <row r="79" spans="1:24" x14ac:dyDescent="0.3">
      <c r="A79" s="6">
        <v>47270</v>
      </c>
      <c r="B79" s="21"/>
      <c r="C79" s="20"/>
      <c r="D79" s="7" t="str">
        <f>IF(Tabela13[[#This Row],[Despesa Realizado]]="","",Tabela13[[#This Row],[Receita Realizado]]-Tabela13[[#This Row],[Despesa Realizado]])</f>
        <v/>
      </c>
      <c r="E79" s="15"/>
      <c r="F79" s="7">
        <f>IF(Tabela13[[#This Row],[Aporte Realizado]]="",0,Tabela13[[#This Row],[Investimentos Realizado]]-I78-Tabela13[[#This Row],[Aporte Realizado]])</f>
        <v>0</v>
      </c>
      <c r="G79" s="5" t="str">
        <f>IF(Tabela13[[#This Row],[Aporte Realizado]]="","",Tabela13[[#This Row],[Rendimento Realizado R$]]/(Tabela13[[#This Row],[Investimentos Realizado]]-(Tabela13[[#This Row],[Aporte Realizado]])))</f>
        <v/>
      </c>
      <c r="H79" s="16"/>
      <c r="I79" s="17"/>
      <c r="J79" s="17"/>
      <c r="K79" s="17"/>
      <c r="L7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79" s="17">
        <v>17800</v>
      </c>
      <c r="N79" s="17">
        <v>15000</v>
      </c>
      <c r="O79" s="8">
        <f>Tabela13[[#This Row],[Receita Previsto]]-Tabela13[[#This Row],[Despesa Previsto]]</f>
        <v>2800</v>
      </c>
      <c r="P79" s="8">
        <f>Tabela13[[#This Row],[Receita Previsto]]-Tabela13[[#This Row],[Despesa Previsto]]</f>
        <v>2800</v>
      </c>
      <c r="Q79" s="1">
        <f t="shared" si="9"/>
        <v>3939.8759804873353</v>
      </c>
      <c r="R79" s="5">
        <v>8.8999999999999999E-3</v>
      </c>
      <c r="S79" s="7">
        <f>S78+Q79+Tabela13[[#This Row],[Geração Caixa Previsto]]+Tabela13[[#This Row],[Aporte Previsto]]</f>
        <v>452222.57041726657</v>
      </c>
      <c r="T79" s="15">
        <f t="shared" si="6"/>
        <v>117801.45602801532</v>
      </c>
      <c r="U79" s="15">
        <f t="shared" si="8"/>
        <v>222748.19808287738</v>
      </c>
      <c r="V79" s="15">
        <f t="shared" si="7"/>
        <v>33501.006269918907</v>
      </c>
      <c r="W79" s="1">
        <f>Tabela13[[#This Row],[Apto Previsto]]+Tabela13[[#This Row],[Carro Previsto]]</f>
        <v>256249.20435279628</v>
      </c>
      <c r="X79" s="1">
        <f>Tabela13[[#This Row],[ Investimento Previsto]]-Tabela13[[#This Row],[Dívidas Previsto]]+Tabela13[[#This Row],[Outros Patrimônios]]</f>
        <v>590670.31874204753</v>
      </c>
    </row>
    <row r="80" spans="1:24" x14ac:dyDescent="0.3">
      <c r="A80" s="6">
        <v>47300</v>
      </c>
      <c r="B80" s="21"/>
      <c r="C80" s="20"/>
      <c r="D80" s="7" t="str">
        <f>IF(Tabela13[[#This Row],[Despesa Realizado]]="","",Tabela13[[#This Row],[Receita Realizado]]-Tabela13[[#This Row],[Despesa Realizado]])</f>
        <v/>
      </c>
      <c r="E80" s="15"/>
      <c r="F80" s="7">
        <f>IF(Tabela13[[#This Row],[Aporte Realizado]]="",0,Tabela13[[#This Row],[Investimentos Realizado]]-I79-Tabela13[[#This Row],[Aporte Realizado]])</f>
        <v>0</v>
      </c>
      <c r="G80" s="5" t="str">
        <f>IF(Tabela13[[#This Row],[Aporte Realizado]]="","",Tabela13[[#This Row],[Rendimento Realizado R$]]/(Tabela13[[#This Row],[Investimentos Realizado]]-(Tabela13[[#This Row],[Aporte Realizado]])))</f>
        <v/>
      </c>
      <c r="H80" s="16"/>
      <c r="I80" s="17"/>
      <c r="J80" s="17"/>
      <c r="K80" s="17"/>
      <c r="L8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0" s="17">
        <v>17800</v>
      </c>
      <c r="N80" s="17">
        <v>15000</v>
      </c>
      <c r="O80" s="8">
        <f>Tabela13[[#This Row],[Receita Previsto]]-Tabela13[[#This Row],[Despesa Previsto]]</f>
        <v>2800</v>
      </c>
      <c r="P80" s="8">
        <f>Tabela13[[#This Row],[Receita Previsto]]-Tabela13[[#This Row],[Despesa Previsto]]</f>
        <v>2800</v>
      </c>
      <c r="Q80" s="1">
        <f t="shared" si="9"/>
        <v>4024.7808767136726</v>
      </c>
      <c r="R80" s="5">
        <v>8.8999999999999999E-3</v>
      </c>
      <c r="S80" s="7">
        <f>S79+Q80+Tabela13[[#This Row],[Geração Caixa Previsto]]+Tabela13[[#This Row],[Aporte Previsto]]</f>
        <v>461847.35129398026</v>
      </c>
      <c r="T80" s="15">
        <f t="shared" si="6"/>
        <v>117530.5126791509</v>
      </c>
      <c r="U80" s="15">
        <f t="shared" si="8"/>
        <v>223060.04556019342</v>
      </c>
      <c r="V80" s="15">
        <f t="shared" si="7"/>
        <v>33423.953955498095</v>
      </c>
      <c r="W80" s="1">
        <f>Tabela13[[#This Row],[Apto Previsto]]+Tabela13[[#This Row],[Carro Previsto]]</f>
        <v>256483.99951569151</v>
      </c>
      <c r="X80" s="1">
        <f>Tabela13[[#This Row],[ Investimento Previsto]]-Tabela13[[#This Row],[Dívidas Previsto]]+Tabela13[[#This Row],[Outros Patrimônios]]</f>
        <v>600800.83813052089</v>
      </c>
    </row>
    <row r="81" spans="1:24" x14ac:dyDescent="0.3">
      <c r="A81" s="6">
        <v>47331</v>
      </c>
      <c r="B81" s="21"/>
      <c r="C81" s="20"/>
      <c r="D81" s="7" t="str">
        <f>IF(Tabela13[[#This Row],[Despesa Realizado]]="","",Tabela13[[#This Row],[Receita Realizado]]-Tabela13[[#This Row],[Despesa Realizado]])</f>
        <v/>
      </c>
      <c r="E81" s="15"/>
      <c r="F81" s="7">
        <f>IF(Tabela13[[#This Row],[Aporte Realizado]]="",0,Tabela13[[#This Row],[Investimentos Realizado]]-I80-Tabela13[[#This Row],[Aporte Realizado]])</f>
        <v>0</v>
      </c>
      <c r="G81" s="5" t="str">
        <f>IF(Tabela13[[#This Row],[Aporte Realizado]]="","",Tabela13[[#This Row],[Rendimento Realizado R$]]/(Tabela13[[#This Row],[Investimentos Realizado]]-(Tabela13[[#This Row],[Aporte Realizado]])))</f>
        <v/>
      </c>
      <c r="H81" s="16"/>
      <c r="I81" s="17"/>
      <c r="J81" s="17"/>
      <c r="K81" s="17"/>
      <c r="L8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1" s="17">
        <v>17800</v>
      </c>
      <c r="N81" s="17">
        <v>15000</v>
      </c>
      <c r="O81" s="8">
        <f>Tabela13[[#This Row],[Receita Previsto]]-Tabela13[[#This Row],[Despesa Previsto]]</f>
        <v>2800</v>
      </c>
      <c r="P81" s="8">
        <f>Tabela13[[#This Row],[Receita Previsto]]-Tabela13[[#This Row],[Despesa Previsto]]</f>
        <v>2800</v>
      </c>
      <c r="Q81" s="1">
        <f t="shared" si="9"/>
        <v>4110.4414265164241</v>
      </c>
      <c r="R81" s="5">
        <v>8.8999999999999999E-3</v>
      </c>
      <c r="S81" s="7">
        <f>S80+Q81+Tabela13[[#This Row],[Geração Caixa Previsto]]+Tabela13[[#This Row],[Aporte Previsto]]</f>
        <v>471557.79272049671</v>
      </c>
      <c r="T81" s="15">
        <f t="shared" si="6"/>
        <v>117260.19249998886</v>
      </c>
      <c r="U81" s="15">
        <f t="shared" si="8"/>
        <v>223372.32962397771</v>
      </c>
      <c r="V81" s="15">
        <f t="shared" si="7"/>
        <v>33347.078861400449</v>
      </c>
      <c r="W81" s="1">
        <f>Tabela13[[#This Row],[Apto Previsto]]+Tabela13[[#This Row],[Carro Previsto]]</f>
        <v>256719.40848537817</v>
      </c>
      <c r="X81" s="1">
        <f>Tabela13[[#This Row],[ Investimento Previsto]]-Tabela13[[#This Row],[Dívidas Previsto]]+Tabela13[[#This Row],[Outros Patrimônios]]</f>
        <v>611017.00870588596</v>
      </c>
    </row>
    <row r="82" spans="1:24" x14ac:dyDescent="0.3">
      <c r="A82" s="6">
        <v>47362</v>
      </c>
      <c r="B82" s="21"/>
      <c r="C82" s="20"/>
      <c r="D82" s="7" t="str">
        <f>IF(Tabela13[[#This Row],[Despesa Realizado]]="","",Tabela13[[#This Row],[Receita Realizado]]-Tabela13[[#This Row],[Despesa Realizado]])</f>
        <v/>
      </c>
      <c r="E82" s="15"/>
      <c r="F82" s="7">
        <f>IF(Tabela13[[#This Row],[Aporte Realizado]]="",0,Tabela13[[#This Row],[Investimentos Realizado]]-I81-Tabela13[[#This Row],[Aporte Realizado]])</f>
        <v>0</v>
      </c>
      <c r="G82" s="5" t="str">
        <f>IF(Tabela13[[#This Row],[Aporte Realizado]]="","",Tabela13[[#This Row],[Rendimento Realizado R$]]/(Tabela13[[#This Row],[Investimentos Realizado]]-(Tabela13[[#This Row],[Aporte Realizado]])))</f>
        <v/>
      </c>
      <c r="H82" s="16"/>
      <c r="I82" s="17"/>
      <c r="J82" s="17"/>
      <c r="K82" s="17"/>
      <c r="L8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2" s="17">
        <v>17800</v>
      </c>
      <c r="N82" s="17">
        <v>15000</v>
      </c>
      <c r="O82" s="8">
        <f>Tabela13[[#This Row],[Receita Previsto]]-Tabela13[[#This Row],[Despesa Previsto]]</f>
        <v>2800</v>
      </c>
      <c r="P82" s="8">
        <f>Tabela13[[#This Row],[Receita Previsto]]-Tabela13[[#This Row],[Despesa Previsto]]</f>
        <v>2800</v>
      </c>
      <c r="Q82" s="1">
        <f t="shared" si="9"/>
        <v>4196.8643552124204</v>
      </c>
      <c r="R82" s="5">
        <v>8.8999999999999999E-3</v>
      </c>
      <c r="S82" s="7">
        <f>S81+Q82+Tabela13[[#This Row],[Geração Caixa Previsto]]+Tabela13[[#This Row],[Aporte Previsto]]</f>
        <v>481354.65707570914</v>
      </c>
      <c r="T82" s="15">
        <f t="shared" si="6"/>
        <v>116990.49405723889</v>
      </c>
      <c r="U82" s="15">
        <f t="shared" si="8"/>
        <v>223685.05088545129</v>
      </c>
      <c r="V82" s="15">
        <f t="shared" si="7"/>
        <v>33270.380580019228</v>
      </c>
      <c r="W82" s="1">
        <f>Tabela13[[#This Row],[Apto Previsto]]+Tabela13[[#This Row],[Carro Previsto]]</f>
        <v>256955.43146547052</v>
      </c>
      <c r="X82" s="1">
        <f>Tabela13[[#This Row],[ Investimento Previsto]]-Tabela13[[#This Row],[Dívidas Previsto]]+Tabela13[[#This Row],[Outros Patrimônios]]</f>
        <v>621319.59448394086</v>
      </c>
    </row>
    <row r="83" spans="1:24" x14ac:dyDescent="0.3">
      <c r="A83" s="6">
        <v>47392</v>
      </c>
      <c r="B83" s="21"/>
      <c r="C83" s="20"/>
      <c r="D83" s="7" t="str">
        <f>IF(Tabela13[[#This Row],[Despesa Realizado]]="","",Tabela13[[#This Row],[Receita Realizado]]-Tabela13[[#This Row],[Despesa Realizado]])</f>
        <v/>
      </c>
      <c r="E83" s="15"/>
      <c r="F83" s="7">
        <f>IF(Tabela13[[#This Row],[Aporte Realizado]]="",0,Tabela13[[#This Row],[Investimentos Realizado]]-I82-Tabela13[[#This Row],[Aporte Realizado]])</f>
        <v>0</v>
      </c>
      <c r="G83" s="5" t="str">
        <f>IF(Tabela13[[#This Row],[Aporte Realizado]]="","",Tabela13[[#This Row],[Rendimento Realizado R$]]/(Tabela13[[#This Row],[Investimentos Realizado]]-(Tabela13[[#This Row],[Aporte Realizado]])))</f>
        <v/>
      </c>
      <c r="H83" s="16"/>
      <c r="I83" s="17"/>
      <c r="J83" s="17"/>
      <c r="K83" s="17"/>
      <c r="L8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3" s="17">
        <v>17800</v>
      </c>
      <c r="N83" s="17">
        <v>15000</v>
      </c>
      <c r="O83" s="8">
        <f>Tabela13[[#This Row],[Receita Previsto]]-Tabela13[[#This Row],[Despesa Previsto]]</f>
        <v>2800</v>
      </c>
      <c r="P83" s="8">
        <f>Tabela13[[#This Row],[Receita Previsto]]-Tabela13[[#This Row],[Despesa Previsto]]</f>
        <v>2800</v>
      </c>
      <c r="Q83" s="1">
        <f t="shared" si="9"/>
        <v>4284.0564479738114</v>
      </c>
      <c r="R83" s="5">
        <v>8.8999999999999999E-3</v>
      </c>
      <c r="S83" s="7">
        <f>S82+Q83+Tabela13[[#This Row],[Geração Caixa Previsto]]+Tabela13[[#This Row],[Aporte Previsto]]</f>
        <v>491238.71352368296</v>
      </c>
      <c r="T83" s="15">
        <f t="shared" si="6"/>
        <v>116721.41592090724</v>
      </c>
      <c r="U83" s="15">
        <f t="shared" si="8"/>
        <v>223998.20995669093</v>
      </c>
      <c r="V83" s="15">
        <f t="shared" si="7"/>
        <v>33193.858704685183</v>
      </c>
      <c r="W83" s="1">
        <f>Tabela13[[#This Row],[Apto Previsto]]+Tabela13[[#This Row],[Carro Previsto]]</f>
        <v>257192.06866137611</v>
      </c>
      <c r="X83" s="1">
        <f>Tabela13[[#This Row],[ Investimento Previsto]]-Tabela13[[#This Row],[Dívidas Previsto]]+Tabela13[[#This Row],[Outros Patrimônios]]</f>
        <v>631709.36626415187</v>
      </c>
    </row>
    <row r="84" spans="1:24" x14ac:dyDescent="0.3">
      <c r="A84" s="6">
        <v>47423</v>
      </c>
      <c r="B84" s="21"/>
      <c r="C84" s="20"/>
      <c r="D84" s="7" t="str">
        <f>IF(Tabela13[[#This Row],[Despesa Realizado]]="","",Tabela13[[#This Row],[Receita Realizado]]-Tabela13[[#This Row],[Despesa Realizado]])</f>
        <v/>
      </c>
      <c r="E84" s="15"/>
      <c r="F84" s="7">
        <f>IF(Tabela13[[#This Row],[Aporte Realizado]]="",0,Tabela13[[#This Row],[Investimentos Realizado]]-I83-Tabela13[[#This Row],[Aporte Realizado]])</f>
        <v>0</v>
      </c>
      <c r="G84" s="5" t="str">
        <f>IF(Tabela13[[#This Row],[Aporte Realizado]]="","",Tabela13[[#This Row],[Rendimento Realizado R$]]/(Tabela13[[#This Row],[Investimentos Realizado]]-(Tabela13[[#This Row],[Aporte Realizado]])))</f>
        <v/>
      </c>
      <c r="H84" s="16"/>
      <c r="I84" s="17"/>
      <c r="J84" s="17"/>
      <c r="K84" s="17"/>
      <c r="L8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4" s="17">
        <v>17800</v>
      </c>
      <c r="N84" s="17">
        <v>15000</v>
      </c>
      <c r="O84" s="8">
        <f>Tabela13[[#This Row],[Receita Previsto]]-Tabela13[[#This Row],[Despesa Previsto]]</f>
        <v>2800</v>
      </c>
      <c r="P84" s="8">
        <f>Tabela13[[#This Row],[Receita Previsto]]-Tabela13[[#This Row],[Despesa Previsto]]</f>
        <v>2800</v>
      </c>
      <c r="Q84" s="1">
        <f t="shared" si="9"/>
        <v>4372.0245503607784</v>
      </c>
      <c r="R84" s="5">
        <v>8.8999999999999999E-3</v>
      </c>
      <c r="S84" s="7">
        <f>S83+Q84+Tabela13[[#This Row],[Geração Caixa Previsto]]+Tabela13[[#This Row],[Aporte Previsto]]</f>
        <v>501210.73807404377</v>
      </c>
      <c r="T84" s="15">
        <f t="shared" si="6"/>
        <v>116452.95666428916</v>
      </c>
      <c r="U84" s="15">
        <f t="shared" si="8"/>
        <v>224311.80745063032</v>
      </c>
      <c r="V84" s="15">
        <f t="shared" si="7"/>
        <v>33117.512829664411</v>
      </c>
      <c r="W84" s="1">
        <f>Tabela13[[#This Row],[Apto Previsto]]+Tabela13[[#This Row],[Carro Previsto]]</f>
        <v>257429.32028029475</v>
      </c>
      <c r="X84" s="1">
        <f>Tabela13[[#This Row],[ Investimento Previsto]]-Tabela13[[#This Row],[Dívidas Previsto]]+Tabela13[[#This Row],[Outros Patrimônios]]</f>
        <v>642187.10169004928</v>
      </c>
    </row>
    <row r="85" spans="1:24" x14ac:dyDescent="0.3">
      <c r="A85" s="6">
        <v>47453</v>
      </c>
      <c r="B85" s="21"/>
      <c r="C85" s="20"/>
      <c r="D85" s="7" t="str">
        <f>IF(Tabela13[[#This Row],[Despesa Realizado]]="","",Tabela13[[#This Row],[Receita Realizado]]-Tabela13[[#This Row],[Despesa Realizado]])</f>
        <v/>
      </c>
      <c r="E85" s="15"/>
      <c r="F85" s="7">
        <f>IF(Tabela13[[#This Row],[Aporte Realizado]]="",0,Tabela13[[#This Row],[Investimentos Realizado]]-I84-Tabela13[[#This Row],[Aporte Realizado]])</f>
        <v>0</v>
      </c>
      <c r="G85" s="5" t="str">
        <f>IF(Tabela13[[#This Row],[Aporte Realizado]]="","",Tabela13[[#This Row],[Rendimento Realizado R$]]/(Tabela13[[#This Row],[Investimentos Realizado]]-(Tabela13[[#This Row],[Aporte Realizado]])))</f>
        <v/>
      </c>
      <c r="H85" s="16"/>
      <c r="I85" s="17"/>
      <c r="J85" s="17"/>
      <c r="K85" s="17"/>
      <c r="L8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5" s="17">
        <v>17800</v>
      </c>
      <c r="N85" s="17">
        <v>15000</v>
      </c>
      <c r="O85" s="8">
        <f>Tabela13[[#This Row],[Receita Previsto]]-Tabela13[[#This Row],[Despesa Previsto]]</f>
        <v>2800</v>
      </c>
      <c r="P85" s="8">
        <f>Tabela13[[#This Row],[Receita Previsto]]-Tabela13[[#This Row],[Despesa Previsto]]</f>
        <v>2800</v>
      </c>
      <c r="Q85" s="1">
        <f t="shared" si="9"/>
        <v>4460.7755688589896</v>
      </c>
      <c r="R85" s="5">
        <v>8.8999999999999999E-3</v>
      </c>
      <c r="S85" s="7">
        <f>S84+Q85+Tabela13[[#This Row],[Geração Caixa Previsto]]+Tabela13[[#This Row],[Aporte Previsto]]</f>
        <v>511271.51364290278</v>
      </c>
      <c r="T85" s="15">
        <f t="shared" si="6"/>
        <v>116185.11486396129</v>
      </c>
      <c r="U85" s="15">
        <f t="shared" si="8"/>
        <v>224625.84398106122</v>
      </c>
      <c r="V85" s="15">
        <f t="shared" si="7"/>
        <v>33041.342550156187</v>
      </c>
      <c r="W85" s="1">
        <f>Tabela13[[#This Row],[Apto Previsto]]+Tabela13[[#This Row],[Carro Previsto]]</f>
        <v>257667.18653121742</v>
      </c>
      <c r="X85" s="1">
        <f>Tabela13[[#This Row],[ Investimento Previsto]]-Tabela13[[#This Row],[Dívidas Previsto]]+Tabela13[[#This Row],[Outros Patrimônios]]</f>
        <v>652753.5853101589</v>
      </c>
    </row>
    <row r="86" spans="1:24" x14ac:dyDescent="0.3">
      <c r="A86" s="6">
        <v>47484</v>
      </c>
      <c r="B86" s="21"/>
      <c r="C86" s="20"/>
      <c r="D86" s="7" t="str">
        <f>IF(Tabela13[[#This Row],[Despesa Realizado]]="","",Tabela13[[#This Row],[Receita Realizado]]-Tabela13[[#This Row],[Despesa Realizado]])</f>
        <v/>
      </c>
      <c r="E86" s="15"/>
      <c r="F86" s="7">
        <f>IF(Tabela13[[#This Row],[Aporte Realizado]]="",0,Tabela13[[#This Row],[Investimentos Realizado]]-I85-Tabela13[[#This Row],[Aporte Realizado]])</f>
        <v>0</v>
      </c>
      <c r="G86" s="5" t="str">
        <f>IF(Tabela13[[#This Row],[Aporte Realizado]]="","",Tabela13[[#This Row],[Rendimento Realizado R$]]/(Tabela13[[#This Row],[Investimentos Realizado]]-(Tabela13[[#This Row],[Aporte Realizado]])))</f>
        <v/>
      </c>
      <c r="H86" s="16"/>
      <c r="I86" s="17"/>
      <c r="J86" s="17"/>
      <c r="K86" s="17"/>
      <c r="L8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6" s="17">
        <v>18000</v>
      </c>
      <c r="N86" s="17">
        <v>15200</v>
      </c>
      <c r="O86" s="8">
        <f>Tabela13[[#This Row],[Receita Previsto]]-Tabela13[[#This Row],[Despesa Previsto]]</f>
        <v>2800</v>
      </c>
      <c r="P86" s="8">
        <f>Tabela13[[#This Row],[Receita Previsto]]-Tabela13[[#This Row],[Despesa Previsto]]</f>
        <v>2800</v>
      </c>
      <c r="Q86" s="1">
        <f t="shared" si="9"/>
        <v>4550.3164714218346</v>
      </c>
      <c r="R86" s="5">
        <v>8.8999999999999999E-3</v>
      </c>
      <c r="S86" s="7">
        <f>S85+Q86+Tabela13[[#This Row],[Geração Caixa Previsto]]+Tabela13[[#This Row],[Aporte Previsto]]</f>
        <v>521421.83011432464</v>
      </c>
      <c r="T86" s="15">
        <f t="shared" si="6"/>
        <v>115917.88909977418</v>
      </c>
      <c r="U86" s="15">
        <f t="shared" si="8"/>
        <v>224940.32016263471</v>
      </c>
      <c r="V86" s="15">
        <f t="shared" si="7"/>
        <v>32965.347462290825</v>
      </c>
      <c r="W86" s="1">
        <f>Tabela13[[#This Row],[Apto Previsto]]+Tabela13[[#This Row],[Carro Previsto]]</f>
        <v>257905.66762492555</v>
      </c>
      <c r="X86" s="1">
        <f>Tabela13[[#This Row],[ Investimento Previsto]]-Tabela13[[#This Row],[Dívidas Previsto]]+Tabela13[[#This Row],[Outros Patrimônios]]</f>
        <v>663409.60863947601</v>
      </c>
    </row>
    <row r="87" spans="1:24" x14ac:dyDescent="0.3">
      <c r="A87" s="6">
        <v>47515</v>
      </c>
      <c r="B87" s="21"/>
      <c r="C87" s="20"/>
      <c r="D87" s="7" t="str">
        <f>IF(Tabela13[[#This Row],[Despesa Realizado]]="","",Tabela13[[#This Row],[Receita Realizado]]-Tabela13[[#This Row],[Despesa Realizado]])</f>
        <v/>
      </c>
      <c r="E87" s="15"/>
      <c r="F87" s="7">
        <f>IF(Tabela13[[#This Row],[Aporte Realizado]]="",0,Tabela13[[#This Row],[Investimentos Realizado]]-I86-Tabela13[[#This Row],[Aporte Realizado]])</f>
        <v>0</v>
      </c>
      <c r="G87" s="5" t="str">
        <f>IF(Tabela13[[#This Row],[Aporte Realizado]]="","",Tabela13[[#This Row],[Rendimento Realizado R$]]/(Tabela13[[#This Row],[Investimentos Realizado]]-(Tabela13[[#This Row],[Aporte Realizado]])))</f>
        <v/>
      </c>
      <c r="H87" s="16"/>
      <c r="I87" s="17"/>
      <c r="J87" s="17"/>
      <c r="K87" s="17"/>
      <c r="L8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7" s="17">
        <v>18000</v>
      </c>
      <c r="N87" s="17">
        <v>15200</v>
      </c>
      <c r="O87" s="8">
        <f>Tabela13[[#This Row],[Receita Previsto]]-Tabela13[[#This Row],[Despesa Previsto]]</f>
        <v>2800</v>
      </c>
      <c r="P87" s="8">
        <f>Tabela13[[#This Row],[Receita Previsto]]-Tabela13[[#This Row],[Despesa Previsto]]</f>
        <v>2800</v>
      </c>
      <c r="Q87" s="1">
        <f t="shared" si="9"/>
        <v>4640.6542880174893</v>
      </c>
      <c r="R87" s="5">
        <v>8.8999999999999999E-3</v>
      </c>
      <c r="S87" s="7">
        <f>S86+Q87+Tabela13[[#This Row],[Geração Caixa Previsto]]+Tabela13[[#This Row],[Aporte Previsto]]</f>
        <v>531662.48440234212</v>
      </c>
      <c r="T87" s="15">
        <f t="shared" si="6"/>
        <v>115651.2779548447</v>
      </c>
      <c r="U87" s="15">
        <f t="shared" si="8"/>
        <v>225255.23661086243</v>
      </c>
      <c r="V87" s="15">
        <f t="shared" si="7"/>
        <v>32889.527163127561</v>
      </c>
      <c r="W87" s="1">
        <f>Tabela13[[#This Row],[Apto Previsto]]+Tabela13[[#This Row],[Carro Previsto]]</f>
        <v>258144.76377398998</v>
      </c>
      <c r="X87" s="1">
        <f>Tabela13[[#This Row],[ Investimento Previsto]]-Tabela13[[#This Row],[Dívidas Previsto]]+Tabela13[[#This Row],[Outros Patrimônios]]</f>
        <v>674155.97022148734</v>
      </c>
    </row>
    <row r="88" spans="1:24" x14ac:dyDescent="0.3">
      <c r="A88" s="6">
        <v>47543</v>
      </c>
      <c r="B88" s="21"/>
      <c r="C88" s="20"/>
      <c r="D88" s="7" t="str">
        <f>IF(Tabela13[[#This Row],[Despesa Realizado]]="","",Tabela13[[#This Row],[Receita Realizado]]-Tabela13[[#This Row],[Despesa Realizado]])</f>
        <v/>
      </c>
      <c r="E88" s="15"/>
      <c r="F88" s="7">
        <f>IF(Tabela13[[#This Row],[Aporte Realizado]]="",0,Tabela13[[#This Row],[Investimentos Realizado]]-I87-Tabela13[[#This Row],[Aporte Realizado]])</f>
        <v>0</v>
      </c>
      <c r="G88" s="5" t="str">
        <f>IF(Tabela13[[#This Row],[Aporte Realizado]]="","",Tabela13[[#This Row],[Rendimento Realizado R$]]/(Tabela13[[#This Row],[Investimentos Realizado]]-(Tabela13[[#This Row],[Aporte Realizado]])))</f>
        <v/>
      </c>
      <c r="H88" s="16"/>
      <c r="I88" s="17"/>
      <c r="J88" s="17"/>
      <c r="K88" s="17"/>
      <c r="L8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8" s="17">
        <v>18000</v>
      </c>
      <c r="N88" s="17">
        <v>15200</v>
      </c>
      <c r="O88" s="8">
        <f>Tabela13[[#This Row],[Receita Previsto]]-Tabela13[[#This Row],[Despesa Previsto]]</f>
        <v>2800</v>
      </c>
      <c r="P88" s="8">
        <f>Tabela13[[#This Row],[Receita Previsto]]-Tabela13[[#This Row],[Despesa Previsto]]</f>
        <v>2800</v>
      </c>
      <c r="Q88" s="1">
        <f t="shared" si="9"/>
        <v>4731.7961111808445</v>
      </c>
      <c r="R88" s="5">
        <v>8.8999999999999999E-3</v>
      </c>
      <c r="S88" s="7">
        <f>S87+Q88+Tabela13[[#This Row],[Geração Caixa Previsto]]+Tabela13[[#This Row],[Aporte Previsto]]</f>
        <v>541994.28051352291</v>
      </c>
      <c r="T88" s="15">
        <f t="shared" si="6"/>
        <v>115385.28001554856</v>
      </c>
      <c r="U88" s="15">
        <f t="shared" si="8"/>
        <v>225570.59394211764</v>
      </c>
      <c r="V88" s="15">
        <f t="shared" si="7"/>
        <v>32813.881250652368</v>
      </c>
      <c r="W88" s="1">
        <f>Tabela13[[#This Row],[Apto Previsto]]+Tabela13[[#This Row],[Carro Previsto]]</f>
        <v>258384.47519277001</v>
      </c>
      <c r="X88" s="1">
        <f>Tabela13[[#This Row],[ Investimento Previsto]]-Tabela13[[#This Row],[Dívidas Previsto]]+Tabela13[[#This Row],[Outros Patrimônios]]</f>
        <v>684993.47569074435</v>
      </c>
    </row>
    <row r="89" spans="1:24" x14ac:dyDescent="0.3">
      <c r="A89" s="6">
        <v>47574</v>
      </c>
      <c r="B89" s="21"/>
      <c r="C89" s="20"/>
      <c r="D89" s="7" t="str">
        <f>IF(Tabela13[[#This Row],[Despesa Realizado]]="","",Tabela13[[#This Row],[Receita Realizado]]-Tabela13[[#This Row],[Despesa Realizado]])</f>
        <v/>
      </c>
      <c r="E89" s="15"/>
      <c r="F89" s="7">
        <f>IF(Tabela13[[#This Row],[Aporte Realizado]]="",0,Tabela13[[#This Row],[Investimentos Realizado]]-I88-Tabela13[[#This Row],[Aporte Realizado]])</f>
        <v>0</v>
      </c>
      <c r="G89" s="5" t="str">
        <f>IF(Tabela13[[#This Row],[Aporte Realizado]]="","",Tabela13[[#This Row],[Rendimento Realizado R$]]/(Tabela13[[#This Row],[Investimentos Realizado]]-(Tabela13[[#This Row],[Aporte Realizado]])))</f>
        <v/>
      </c>
      <c r="H89" s="16"/>
      <c r="I89" s="17"/>
      <c r="J89" s="17"/>
      <c r="K89" s="17"/>
      <c r="L8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89" s="17">
        <v>18000</v>
      </c>
      <c r="N89" s="17">
        <v>15200</v>
      </c>
      <c r="O89" s="8">
        <f>Tabela13[[#This Row],[Receita Previsto]]-Tabela13[[#This Row],[Despesa Previsto]]</f>
        <v>2800</v>
      </c>
      <c r="P89" s="8">
        <f>Tabela13[[#This Row],[Receita Previsto]]-Tabela13[[#This Row],[Despesa Previsto]]</f>
        <v>2800</v>
      </c>
      <c r="Q89" s="1">
        <f t="shared" si="9"/>
        <v>4823.7490965703537</v>
      </c>
      <c r="R89" s="5">
        <v>8.8999999999999999E-3</v>
      </c>
      <c r="S89" s="7">
        <f>S88+Q89+Tabela13[[#This Row],[Geração Caixa Previsto]]+Tabela13[[#This Row],[Aporte Previsto]]</f>
        <v>552418.02961009322</v>
      </c>
      <c r="T89" s="15">
        <f t="shared" si="6"/>
        <v>115119.8938715128</v>
      </c>
      <c r="U89" s="15">
        <f t="shared" si="8"/>
        <v>225886.39277363662</v>
      </c>
      <c r="V89" s="15">
        <f t="shared" si="7"/>
        <v>32738.409323775868</v>
      </c>
      <c r="W89" s="1">
        <f>Tabela13[[#This Row],[Apto Previsto]]+Tabela13[[#This Row],[Carro Previsto]]</f>
        <v>258624.8020974125</v>
      </c>
      <c r="X89" s="1">
        <f>Tabela13[[#This Row],[ Investimento Previsto]]-Tabela13[[#This Row],[Dívidas Previsto]]+Tabela13[[#This Row],[Outros Patrimônios]]</f>
        <v>695922.9378359929</v>
      </c>
    </row>
    <row r="90" spans="1:24" x14ac:dyDescent="0.3">
      <c r="A90" s="6">
        <v>47604</v>
      </c>
      <c r="B90" s="21"/>
      <c r="C90" s="20"/>
      <c r="D90" s="7" t="str">
        <f>IF(Tabela13[[#This Row],[Despesa Realizado]]="","",Tabela13[[#This Row],[Receita Realizado]]-Tabela13[[#This Row],[Despesa Realizado]])</f>
        <v/>
      </c>
      <c r="E90" s="15"/>
      <c r="F90" s="7">
        <f>IF(Tabela13[[#This Row],[Aporte Realizado]]="",0,Tabela13[[#This Row],[Investimentos Realizado]]-I89-Tabela13[[#This Row],[Aporte Realizado]])</f>
        <v>0</v>
      </c>
      <c r="G90" s="5" t="str">
        <f>IF(Tabela13[[#This Row],[Aporte Realizado]]="","",Tabela13[[#This Row],[Rendimento Realizado R$]]/(Tabela13[[#This Row],[Investimentos Realizado]]-(Tabela13[[#This Row],[Aporte Realizado]])))</f>
        <v/>
      </c>
      <c r="H90" s="16"/>
      <c r="I90" s="17"/>
      <c r="J90" s="17"/>
      <c r="K90" s="17"/>
      <c r="L9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0" s="17">
        <v>18000</v>
      </c>
      <c r="N90" s="17">
        <v>15200</v>
      </c>
      <c r="O90" s="8">
        <f>Tabela13[[#This Row],[Receita Previsto]]-Tabela13[[#This Row],[Despesa Previsto]]</f>
        <v>2800</v>
      </c>
      <c r="P90" s="8">
        <f>Tabela13[[#This Row],[Receita Previsto]]-Tabela13[[#This Row],[Despesa Previsto]]</f>
        <v>2800</v>
      </c>
      <c r="Q90" s="1">
        <f t="shared" si="9"/>
        <v>4916.5204635298296</v>
      </c>
      <c r="R90" s="5">
        <v>8.8999999999999999E-3</v>
      </c>
      <c r="S90" s="7">
        <f>S89+Q90+Tabela13[[#This Row],[Geração Caixa Previsto]]+Tabela13[[#This Row],[Aporte Previsto]]</f>
        <v>562934.55007362308</v>
      </c>
      <c r="T90" s="15">
        <f t="shared" si="6"/>
        <v>114855.11811560833</v>
      </c>
      <c r="U90" s="15">
        <f t="shared" si="8"/>
        <v>226202.63372351971</v>
      </c>
      <c r="V90" s="15">
        <f t="shared" si="7"/>
        <v>32663.110982331185</v>
      </c>
      <c r="W90" s="1">
        <f>Tabela13[[#This Row],[Apto Previsto]]+Tabela13[[#This Row],[Carro Previsto]]</f>
        <v>258865.7447058509</v>
      </c>
      <c r="X90" s="1">
        <f>Tabela13[[#This Row],[ Investimento Previsto]]-Tabela13[[#This Row],[Dívidas Previsto]]+Tabela13[[#This Row],[Outros Patrimônios]]</f>
        <v>706945.17666386557</v>
      </c>
    </row>
    <row r="91" spans="1:24" x14ac:dyDescent="0.3">
      <c r="A91" s="6">
        <v>47635</v>
      </c>
      <c r="B91" s="21"/>
      <c r="C91" s="20"/>
      <c r="D91" s="7" t="str">
        <f>IF(Tabela13[[#This Row],[Despesa Realizado]]="","",Tabela13[[#This Row],[Receita Realizado]]-Tabela13[[#This Row],[Despesa Realizado]])</f>
        <v/>
      </c>
      <c r="E91" s="15"/>
      <c r="F91" s="7">
        <f>IF(Tabela13[[#This Row],[Aporte Realizado]]="",0,Tabela13[[#This Row],[Investimentos Realizado]]-I90-Tabela13[[#This Row],[Aporte Realizado]])</f>
        <v>0</v>
      </c>
      <c r="G91" s="5" t="str">
        <f>IF(Tabela13[[#This Row],[Aporte Realizado]]="","",Tabela13[[#This Row],[Rendimento Realizado R$]]/(Tabela13[[#This Row],[Investimentos Realizado]]-(Tabela13[[#This Row],[Aporte Realizado]])))</f>
        <v/>
      </c>
      <c r="H91" s="16"/>
      <c r="I91" s="17"/>
      <c r="J91" s="17"/>
      <c r="K91" s="17"/>
      <c r="L9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1" s="17">
        <v>18000</v>
      </c>
      <c r="N91" s="17">
        <v>15200</v>
      </c>
      <c r="O91" s="8">
        <f>Tabela13[[#This Row],[Receita Previsto]]-Tabela13[[#This Row],[Despesa Previsto]]</f>
        <v>2800</v>
      </c>
      <c r="P91" s="8">
        <f>Tabela13[[#This Row],[Receita Previsto]]-Tabela13[[#This Row],[Despesa Previsto]]</f>
        <v>2800</v>
      </c>
      <c r="Q91" s="1">
        <f t="shared" si="9"/>
        <v>5010.117495655245</v>
      </c>
      <c r="R91" s="5">
        <v>8.8999999999999999E-3</v>
      </c>
      <c r="S91" s="7">
        <f>S90+Q91+Tabela13[[#This Row],[Geração Caixa Previsto]]+Tabela13[[#This Row],[Aporte Previsto]]</f>
        <v>573544.66756927827</v>
      </c>
      <c r="T91" s="15">
        <f t="shared" si="6"/>
        <v>114590.95134394243</v>
      </c>
      <c r="U91" s="15">
        <f t="shared" si="8"/>
        <v>226519.31741073265</v>
      </c>
      <c r="V91" s="15">
        <f t="shared" si="7"/>
        <v>32587.985827071825</v>
      </c>
      <c r="W91" s="1">
        <f>Tabela13[[#This Row],[Apto Previsto]]+Tabela13[[#This Row],[Carro Previsto]]</f>
        <v>259107.30323780447</v>
      </c>
      <c r="X91" s="1">
        <f>Tabela13[[#This Row],[ Investimento Previsto]]-Tabela13[[#This Row],[Dívidas Previsto]]+Tabela13[[#This Row],[Outros Patrimônios]]</f>
        <v>718061.01946314028</v>
      </c>
    </row>
    <row r="92" spans="1:24" x14ac:dyDescent="0.3">
      <c r="A92" s="6">
        <v>47665</v>
      </c>
      <c r="B92" s="21"/>
      <c r="C92" s="20"/>
      <c r="D92" s="7" t="str">
        <f>IF(Tabela13[[#This Row],[Despesa Realizado]]="","",Tabela13[[#This Row],[Receita Realizado]]-Tabela13[[#This Row],[Despesa Realizado]])</f>
        <v/>
      </c>
      <c r="E92" s="15"/>
      <c r="F92" s="7">
        <f>IF(Tabela13[[#This Row],[Aporte Realizado]]="",0,Tabela13[[#This Row],[Investimentos Realizado]]-I91-Tabela13[[#This Row],[Aporte Realizado]])</f>
        <v>0</v>
      </c>
      <c r="G92" s="5" t="str">
        <f>IF(Tabela13[[#This Row],[Aporte Realizado]]="","",Tabela13[[#This Row],[Rendimento Realizado R$]]/(Tabela13[[#This Row],[Investimentos Realizado]]-(Tabela13[[#This Row],[Aporte Realizado]])))</f>
        <v/>
      </c>
      <c r="H92" s="16"/>
      <c r="I92" s="17"/>
      <c r="J92" s="17"/>
      <c r="K92" s="17"/>
      <c r="L9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2" s="17">
        <v>18000</v>
      </c>
      <c r="N92" s="17">
        <v>15200</v>
      </c>
      <c r="O92" s="8">
        <f>Tabela13[[#This Row],[Receita Previsto]]-Tabela13[[#This Row],[Despesa Previsto]]</f>
        <v>2800</v>
      </c>
      <c r="P92" s="8">
        <f>Tabela13[[#This Row],[Receita Previsto]]-Tabela13[[#This Row],[Despesa Previsto]]</f>
        <v>2800</v>
      </c>
      <c r="Q92" s="1">
        <f t="shared" si="9"/>
        <v>5104.5475413665763</v>
      </c>
      <c r="R92" s="5">
        <v>8.8999999999999999E-3</v>
      </c>
      <c r="S92" s="7">
        <f>S91+Q92+Tabela13[[#This Row],[Geração Caixa Previsto]]+Tabela13[[#This Row],[Aporte Previsto]]</f>
        <v>584249.21511064481</v>
      </c>
      <c r="T92" s="15">
        <f t="shared" si="6"/>
        <v>114327.39215585137</v>
      </c>
      <c r="U92" s="15">
        <f t="shared" si="8"/>
        <v>226836.4444551077</v>
      </c>
      <c r="V92" s="15">
        <f t="shared" si="7"/>
        <v>32513.033459669561</v>
      </c>
      <c r="W92" s="1">
        <f>Tabela13[[#This Row],[Apto Previsto]]+Tabela13[[#This Row],[Carro Previsto]]</f>
        <v>259349.47791477726</v>
      </c>
      <c r="X92" s="1">
        <f>Tabela13[[#This Row],[ Investimento Previsto]]-Tabela13[[#This Row],[Dívidas Previsto]]+Tabela13[[#This Row],[Outros Patrimônios]]</f>
        <v>729271.3008695707</v>
      </c>
    </row>
    <row r="93" spans="1:24" x14ac:dyDescent="0.3">
      <c r="A93" s="6">
        <v>47696</v>
      </c>
      <c r="B93" s="21"/>
      <c r="C93" s="20"/>
      <c r="D93" s="7" t="str">
        <f>IF(Tabela13[[#This Row],[Despesa Realizado]]="","",Tabela13[[#This Row],[Receita Realizado]]-Tabela13[[#This Row],[Despesa Realizado]])</f>
        <v/>
      </c>
      <c r="E93" s="15"/>
      <c r="F93" s="7">
        <f>IF(Tabela13[[#This Row],[Aporte Realizado]]="",0,Tabela13[[#This Row],[Investimentos Realizado]]-I92-Tabela13[[#This Row],[Aporte Realizado]])</f>
        <v>0</v>
      </c>
      <c r="G93" s="5" t="str">
        <f>IF(Tabela13[[#This Row],[Aporte Realizado]]="","",Tabela13[[#This Row],[Rendimento Realizado R$]]/(Tabela13[[#This Row],[Investimentos Realizado]]-(Tabela13[[#This Row],[Aporte Realizado]])))</f>
        <v/>
      </c>
      <c r="H93" s="16"/>
      <c r="I93" s="17"/>
      <c r="J93" s="17"/>
      <c r="K93" s="17"/>
      <c r="L9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3" s="17">
        <v>18000</v>
      </c>
      <c r="N93" s="17">
        <v>15200</v>
      </c>
      <c r="O93" s="8">
        <f>Tabela13[[#This Row],[Receita Previsto]]-Tabela13[[#This Row],[Despesa Previsto]]</f>
        <v>2800</v>
      </c>
      <c r="P93" s="8">
        <f>Tabela13[[#This Row],[Receita Previsto]]-Tabela13[[#This Row],[Despesa Previsto]]</f>
        <v>2800</v>
      </c>
      <c r="Q93" s="1">
        <f t="shared" si="9"/>
        <v>5199.8180144847393</v>
      </c>
      <c r="R93" s="5">
        <v>8.8999999999999999E-3</v>
      </c>
      <c r="S93" s="7">
        <f>S92+Q93+Tabela13[[#This Row],[Geração Caixa Previsto]]+Tabela13[[#This Row],[Aporte Previsto]]</f>
        <v>595049.03312512953</v>
      </c>
      <c r="T93" s="15">
        <f t="shared" si="6"/>
        <v>114064.43915389292</v>
      </c>
      <c r="U93" s="15">
        <f t="shared" si="8"/>
        <v>227154.01547734486</v>
      </c>
      <c r="V93" s="15">
        <f t="shared" si="7"/>
        <v>32438.253482712324</v>
      </c>
      <c r="W93" s="1">
        <f>Tabela13[[#This Row],[Apto Previsto]]+Tabela13[[#This Row],[Carro Previsto]]</f>
        <v>259592.26896005718</v>
      </c>
      <c r="X93" s="1">
        <f>Tabela13[[#This Row],[ Investimento Previsto]]-Tabela13[[#This Row],[Dívidas Previsto]]+Tabela13[[#This Row],[Outros Patrimônios]]</f>
        <v>740576.86293129378</v>
      </c>
    </row>
    <row r="94" spans="1:24" x14ac:dyDescent="0.3">
      <c r="A94" s="6">
        <v>47727</v>
      </c>
      <c r="B94" s="21"/>
      <c r="C94" s="20"/>
      <c r="D94" s="7" t="str">
        <f>IF(Tabela13[[#This Row],[Despesa Realizado]]="","",Tabela13[[#This Row],[Receita Realizado]]-Tabela13[[#This Row],[Despesa Realizado]])</f>
        <v/>
      </c>
      <c r="E94" s="15"/>
      <c r="F94" s="7">
        <f>IF(Tabela13[[#This Row],[Aporte Realizado]]="",0,Tabela13[[#This Row],[Investimentos Realizado]]-I93-Tabela13[[#This Row],[Aporte Realizado]])</f>
        <v>0</v>
      </c>
      <c r="G94" s="5" t="str">
        <f>IF(Tabela13[[#This Row],[Aporte Realizado]]="","",Tabela13[[#This Row],[Rendimento Realizado R$]]/(Tabela13[[#This Row],[Investimentos Realizado]]-(Tabela13[[#This Row],[Aporte Realizado]])))</f>
        <v/>
      </c>
      <c r="H94" s="16"/>
      <c r="I94" s="17"/>
      <c r="J94" s="17"/>
      <c r="K94" s="17"/>
      <c r="L9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4" s="17">
        <v>18000</v>
      </c>
      <c r="N94" s="17">
        <v>15200</v>
      </c>
      <c r="O94" s="8">
        <f>Tabela13[[#This Row],[Receita Previsto]]-Tabela13[[#This Row],[Despesa Previsto]]</f>
        <v>2800</v>
      </c>
      <c r="P94" s="8">
        <f>Tabela13[[#This Row],[Receita Previsto]]-Tabela13[[#This Row],[Despesa Previsto]]</f>
        <v>2800</v>
      </c>
      <c r="Q94" s="1">
        <f t="shared" si="9"/>
        <v>5295.9363948136524</v>
      </c>
      <c r="R94" s="5">
        <v>8.8999999999999999E-3</v>
      </c>
      <c r="S94" s="7">
        <f>S93+Q94+Tabela13[[#This Row],[Geração Caixa Previsto]]+Tabela13[[#This Row],[Aporte Previsto]]</f>
        <v>605944.96951994323</v>
      </c>
      <c r="T94" s="15">
        <f t="shared" si="6"/>
        <v>113802.09094383896</v>
      </c>
      <c r="U94" s="15">
        <f t="shared" si="8"/>
        <v>227472.03109901317</v>
      </c>
      <c r="V94" s="15">
        <f t="shared" si="7"/>
        <v>32363.645499702085</v>
      </c>
      <c r="W94" s="1">
        <f>Tabela13[[#This Row],[Apto Previsto]]+Tabela13[[#This Row],[Carro Previsto]]</f>
        <v>259835.67659871525</v>
      </c>
      <c r="X94" s="1">
        <f>Tabela13[[#This Row],[ Investimento Previsto]]-Tabela13[[#This Row],[Dívidas Previsto]]+Tabela13[[#This Row],[Outros Patrimônios]]</f>
        <v>751978.55517481954</v>
      </c>
    </row>
    <row r="95" spans="1:24" x14ac:dyDescent="0.3">
      <c r="A95" s="6">
        <v>47757</v>
      </c>
      <c r="B95" s="21"/>
      <c r="C95" s="20"/>
      <c r="D95" s="7" t="str">
        <f>IF(Tabela13[[#This Row],[Despesa Realizado]]="","",Tabela13[[#This Row],[Receita Realizado]]-Tabela13[[#This Row],[Despesa Realizado]])</f>
        <v/>
      </c>
      <c r="E95" s="15"/>
      <c r="F95" s="7">
        <f>IF(Tabela13[[#This Row],[Aporte Realizado]]="",0,Tabela13[[#This Row],[Investimentos Realizado]]-I94-Tabela13[[#This Row],[Aporte Realizado]])</f>
        <v>0</v>
      </c>
      <c r="G95" s="5" t="str">
        <f>IF(Tabela13[[#This Row],[Aporte Realizado]]="","",Tabela13[[#This Row],[Rendimento Realizado R$]]/(Tabela13[[#This Row],[Investimentos Realizado]]-(Tabela13[[#This Row],[Aporte Realizado]])))</f>
        <v/>
      </c>
      <c r="H95" s="16"/>
      <c r="I95" s="17"/>
      <c r="J95" s="17"/>
      <c r="K95" s="17"/>
      <c r="L9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5" s="17">
        <v>18000</v>
      </c>
      <c r="N95" s="17">
        <v>15200</v>
      </c>
      <c r="O95" s="8">
        <f>Tabela13[[#This Row],[Receita Previsto]]-Tabela13[[#This Row],[Despesa Previsto]]</f>
        <v>2800</v>
      </c>
      <c r="P95" s="8">
        <f>Tabela13[[#This Row],[Receita Previsto]]-Tabela13[[#This Row],[Despesa Previsto]]</f>
        <v>2800</v>
      </c>
      <c r="Q95" s="1">
        <f t="shared" si="9"/>
        <v>5392.9102287274945</v>
      </c>
      <c r="R95" s="5">
        <v>8.8999999999999999E-3</v>
      </c>
      <c r="S95" s="7">
        <f>S94+Q95+Tabela13[[#This Row],[Geração Caixa Previsto]]+Tabela13[[#This Row],[Aporte Previsto]]</f>
        <v>616937.87974867073</v>
      </c>
      <c r="T95" s="15">
        <f t="shared" si="6"/>
        <v>113540.34613466814</v>
      </c>
      <c r="U95" s="15">
        <f t="shared" si="8"/>
        <v>227790.4919425518</v>
      </c>
      <c r="V95" s="15">
        <f t="shared" si="7"/>
        <v>32289.20911505277</v>
      </c>
      <c r="W95" s="1">
        <f>Tabela13[[#This Row],[Apto Previsto]]+Tabela13[[#This Row],[Carro Previsto]]</f>
        <v>260079.70105760457</v>
      </c>
      <c r="X95" s="1">
        <f>Tabela13[[#This Row],[ Investimento Previsto]]-Tabela13[[#This Row],[Dívidas Previsto]]+Tabela13[[#This Row],[Outros Patrimônios]]</f>
        <v>763477.23467160715</v>
      </c>
    </row>
    <row r="96" spans="1:24" x14ac:dyDescent="0.3">
      <c r="A96" s="6">
        <v>47788</v>
      </c>
      <c r="B96" s="21"/>
      <c r="C96" s="20"/>
      <c r="D96" s="7" t="str">
        <f>IF(Tabela13[[#This Row],[Despesa Realizado]]="","",Tabela13[[#This Row],[Receita Realizado]]-Tabela13[[#This Row],[Despesa Realizado]])</f>
        <v/>
      </c>
      <c r="E96" s="15"/>
      <c r="F96" s="7">
        <f>IF(Tabela13[[#This Row],[Aporte Realizado]]="",0,Tabela13[[#This Row],[Investimentos Realizado]]-I95-Tabela13[[#This Row],[Aporte Realizado]])</f>
        <v>0</v>
      </c>
      <c r="G96" s="5" t="str">
        <f>IF(Tabela13[[#This Row],[Aporte Realizado]]="","",Tabela13[[#This Row],[Rendimento Realizado R$]]/(Tabela13[[#This Row],[Investimentos Realizado]]-(Tabela13[[#This Row],[Aporte Realizado]])))</f>
        <v/>
      </c>
      <c r="H96" s="16"/>
      <c r="I96" s="17"/>
      <c r="J96" s="17"/>
      <c r="K96" s="17"/>
      <c r="L9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6" s="17">
        <v>18000</v>
      </c>
      <c r="N96" s="17">
        <v>15200</v>
      </c>
      <c r="O96" s="8">
        <f>Tabela13[[#This Row],[Receita Previsto]]-Tabela13[[#This Row],[Despesa Previsto]]</f>
        <v>2800</v>
      </c>
      <c r="P96" s="8">
        <f>Tabela13[[#This Row],[Receita Previsto]]-Tabela13[[#This Row],[Despesa Previsto]]</f>
        <v>2800</v>
      </c>
      <c r="Q96" s="1">
        <f t="shared" si="9"/>
        <v>5490.7471297631691</v>
      </c>
      <c r="R96" s="5">
        <v>8.8999999999999999E-3</v>
      </c>
      <c r="S96" s="7">
        <f>S95+Q96+Tabela13[[#This Row],[Geração Caixa Previsto]]+Tabela13[[#This Row],[Aporte Previsto]]</f>
        <v>628028.62687843386</v>
      </c>
      <c r="T96" s="15">
        <f t="shared" si="6"/>
        <v>113279.20333855841</v>
      </c>
      <c r="U96" s="15">
        <f t="shared" si="8"/>
        <v>228109.39863127138</v>
      </c>
      <c r="V96" s="15">
        <f t="shared" si="7"/>
        <v>32214.943934088151</v>
      </c>
      <c r="W96" s="1">
        <f>Tabela13[[#This Row],[Apto Previsto]]+Tabela13[[#This Row],[Carro Previsto]]</f>
        <v>260324.34256535955</v>
      </c>
      <c r="X96" s="1">
        <f>Tabela13[[#This Row],[ Investimento Previsto]]-Tabela13[[#This Row],[Dívidas Previsto]]+Tabela13[[#This Row],[Outros Patrimônios]]</f>
        <v>775073.76610523497</v>
      </c>
    </row>
    <row r="97" spans="1:24" x14ac:dyDescent="0.3">
      <c r="A97" s="6">
        <v>47818</v>
      </c>
      <c r="B97" s="21"/>
      <c r="C97" s="20"/>
      <c r="D97" s="7" t="str">
        <f>IF(Tabela13[[#This Row],[Despesa Realizado]]="","",Tabela13[[#This Row],[Receita Realizado]]-Tabela13[[#This Row],[Despesa Realizado]])</f>
        <v/>
      </c>
      <c r="E97" s="15"/>
      <c r="F97" s="7">
        <f>IF(Tabela13[[#This Row],[Aporte Realizado]]="",0,Tabela13[[#This Row],[Investimentos Realizado]]-I96-Tabela13[[#This Row],[Aporte Realizado]])</f>
        <v>0</v>
      </c>
      <c r="G97" s="5" t="str">
        <f>IF(Tabela13[[#This Row],[Aporte Realizado]]="","",Tabela13[[#This Row],[Rendimento Realizado R$]]/(Tabela13[[#This Row],[Investimentos Realizado]]-(Tabela13[[#This Row],[Aporte Realizado]])))</f>
        <v/>
      </c>
      <c r="H97" s="16"/>
      <c r="I97" s="17"/>
      <c r="J97" s="17"/>
      <c r="K97" s="17"/>
      <c r="L9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7" s="17">
        <v>18000</v>
      </c>
      <c r="N97" s="17">
        <v>15200</v>
      </c>
      <c r="O97" s="8">
        <f>Tabela13[[#This Row],[Receita Previsto]]-Tabela13[[#This Row],[Despesa Previsto]]</f>
        <v>2800</v>
      </c>
      <c r="P97" s="8">
        <f>Tabela13[[#This Row],[Receita Previsto]]-Tabela13[[#This Row],[Despesa Previsto]]</f>
        <v>2800</v>
      </c>
      <c r="Q97" s="1">
        <f t="shared" si="9"/>
        <v>5589.454779218061</v>
      </c>
      <c r="R97" s="5">
        <v>8.8999999999999999E-3</v>
      </c>
      <c r="S97" s="7">
        <f>S96+Q97+Tabela13[[#This Row],[Geração Caixa Previsto]]+Tabela13[[#This Row],[Aporte Previsto]]</f>
        <v>639218.08165765193</v>
      </c>
      <c r="T97" s="15">
        <f t="shared" si="6"/>
        <v>113018.66117087973</v>
      </c>
      <c r="U97" s="15">
        <f t="shared" si="8"/>
        <v>228428.75178935518</v>
      </c>
      <c r="V97" s="15">
        <f t="shared" si="7"/>
        <v>32140.849563039748</v>
      </c>
      <c r="W97" s="1">
        <f>Tabela13[[#This Row],[Apto Previsto]]+Tabela13[[#This Row],[Carro Previsto]]</f>
        <v>260569.60135239494</v>
      </c>
      <c r="X97" s="1">
        <f>Tabela13[[#This Row],[ Investimento Previsto]]-Tabela13[[#This Row],[Dívidas Previsto]]+Tabela13[[#This Row],[Outros Patrimônios]]</f>
        <v>786769.02183916711</v>
      </c>
    </row>
    <row r="98" spans="1:24" x14ac:dyDescent="0.3">
      <c r="A98" s="6">
        <v>47849</v>
      </c>
      <c r="B98" s="21"/>
      <c r="C98" s="20"/>
      <c r="D98" s="7" t="str">
        <f>IF(Tabela13[[#This Row],[Despesa Realizado]]="","",Tabela13[[#This Row],[Receita Realizado]]-Tabela13[[#This Row],[Despesa Realizado]])</f>
        <v/>
      </c>
      <c r="E98" s="15"/>
      <c r="F98" s="7">
        <f>IF(Tabela13[[#This Row],[Aporte Realizado]]="",0,Tabela13[[#This Row],[Investimentos Realizado]]-I97-Tabela13[[#This Row],[Aporte Realizado]])</f>
        <v>0</v>
      </c>
      <c r="G98" s="5" t="str">
        <f>IF(Tabela13[[#This Row],[Aporte Realizado]]="","",Tabela13[[#This Row],[Rendimento Realizado R$]]/(Tabela13[[#This Row],[Investimentos Realizado]]-(Tabela13[[#This Row],[Aporte Realizado]])))</f>
        <v/>
      </c>
      <c r="H98" s="16"/>
      <c r="I98" s="17"/>
      <c r="J98" s="17"/>
      <c r="K98" s="17"/>
      <c r="L9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8" s="17">
        <v>18000</v>
      </c>
      <c r="N98" s="17">
        <v>15200</v>
      </c>
      <c r="O98" s="8">
        <f>Tabela13[[#This Row],[Receita Previsto]]-Tabela13[[#This Row],[Despesa Previsto]]</f>
        <v>2800</v>
      </c>
      <c r="P98" s="8">
        <f>Tabela13[[#This Row],[Receita Previsto]]-Tabela13[[#This Row],[Despesa Previsto]]</f>
        <v>2800</v>
      </c>
      <c r="Q98" s="1">
        <f t="shared" si="9"/>
        <v>5689.0409267531022</v>
      </c>
      <c r="R98" s="5">
        <v>8.8999999999999999E-3</v>
      </c>
      <c r="S98" s="7">
        <f>S97+Q98+Tabela13[[#This Row],[Geração Caixa Previsto]]+Tabela13[[#This Row],[Aporte Previsto]]</f>
        <v>650507.12258440501</v>
      </c>
      <c r="T98" s="15">
        <f t="shared" si="6"/>
        <v>112758.71825018671</v>
      </c>
      <c r="U98" s="15">
        <f t="shared" si="8"/>
        <v>228748.5520418603</v>
      </c>
      <c r="V98" s="15">
        <f t="shared" si="7"/>
        <v>32066.925609044756</v>
      </c>
      <c r="W98" s="1">
        <f>Tabela13[[#This Row],[Apto Previsto]]+Tabela13[[#This Row],[Carro Previsto]]</f>
        <v>260815.47765090506</v>
      </c>
      <c r="X98" s="1">
        <f>Tabela13[[#This Row],[ Investimento Previsto]]-Tabela13[[#This Row],[Dívidas Previsto]]+Tabela13[[#This Row],[Outros Patrimônios]]</f>
        <v>798563.88198512327</v>
      </c>
    </row>
    <row r="99" spans="1:24" x14ac:dyDescent="0.3">
      <c r="A99" s="6">
        <v>47880</v>
      </c>
      <c r="B99" s="21"/>
      <c r="C99" s="20"/>
      <c r="D99" s="7" t="str">
        <f>IF(Tabela13[[#This Row],[Despesa Realizado]]="","",Tabela13[[#This Row],[Receita Realizado]]-Tabela13[[#This Row],[Despesa Realizado]])</f>
        <v/>
      </c>
      <c r="E99" s="15"/>
      <c r="F99" s="7">
        <f>IF(Tabela13[[#This Row],[Aporte Realizado]]="",0,Tabela13[[#This Row],[Investimentos Realizado]]-I98-Tabela13[[#This Row],[Aporte Realizado]])</f>
        <v>0</v>
      </c>
      <c r="G99" s="5" t="str">
        <f>IF(Tabela13[[#This Row],[Aporte Realizado]]="","",Tabela13[[#This Row],[Rendimento Realizado R$]]/(Tabela13[[#This Row],[Investimentos Realizado]]-(Tabela13[[#This Row],[Aporte Realizado]])))</f>
        <v/>
      </c>
      <c r="H99" s="16"/>
      <c r="I99" s="17"/>
      <c r="J99" s="17"/>
      <c r="K99" s="17"/>
      <c r="L9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99" s="17">
        <v>18000</v>
      </c>
      <c r="N99" s="17">
        <v>15200</v>
      </c>
      <c r="O99" s="8">
        <f>Tabela13[[#This Row],[Receita Previsto]]-Tabela13[[#This Row],[Despesa Previsto]]</f>
        <v>2800</v>
      </c>
      <c r="P99" s="8">
        <f>Tabela13[[#This Row],[Receita Previsto]]-Tabela13[[#This Row],[Despesa Previsto]]</f>
        <v>2800</v>
      </c>
      <c r="Q99" s="1">
        <f t="shared" si="9"/>
        <v>5789.5133910012046</v>
      </c>
      <c r="R99" s="5">
        <v>8.8999999999999999E-3</v>
      </c>
      <c r="S99" s="7">
        <f>S98+Q99+Tabela13[[#This Row],[Geração Caixa Previsto]]+Tabela13[[#This Row],[Aporte Previsto]]</f>
        <v>661896.63597540616</v>
      </c>
      <c r="T99" s="15">
        <f t="shared" si="6"/>
        <v>112499.37319821128</v>
      </c>
      <c r="U99" s="15">
        <f t="shared" si="8"/>
        <v>229068.80001471893</v>
      </c>
      <c r="V99" s="15">
        <f t="shared" si="7"/>
        <v>31993.171680143954</v>
      </c>
      <c r="W99" s="1">
        <f>Tabela13[[#This Row],[Apto Previsto]]+Tabela13[[#This Row],[Carro Previsto]]</f>
        <v>261061.97169486288</v>
      </c>
      <c r="X99" s="1">
        <f>Tabela13[[#This Row],[ Investimento Previsto]]-Tabela13[[#This Row],[Dívidas Previsto]]+Tabela13[[#This Row],[Outros Patrimônios]]</f>
        <v>810459.23447205778</v>
      </c>
    </row>
    <row r="100" spans="1:24" x14ac:dyDescent="0.3">
      <c r="A100" s="6">
        <v>47908</v>
      </c>
      <c r="B100" s="21"/>
      <c r="C100" s="20"/>
      <c r="D100" s="7" t="str">
        <f>IF(Tabela13[[#This Row],[Despesa Realizado]]="","",Tabela13[[#This Row],[Receita Realizado]]-Tabela13[[#This Row],[Despesa Realizado]])</f>
        <v/>
      </c>
      <c r="E100" s="15"/>
      <c r="F100" s="7">
        <f>IF(Tabela13[[#This Row],[Aporte Realizado]]="",0,Tabela13[[#This Row],[Investimentos Realizado]]-I99-Tabela13[[#This Row],[Aporte Realizado]])</f>
        <v>0</v>
      </c>
      <c r="G100" s="5" t="str">
        <f>IF(Tabela13[[#This Row],[Aporte Realizado]]="","",Tabela13[[#This Row],[Rendimento Realizado R$]]/(Tabela13[[#This Row],[Investimentos Realizado]]-(Tabela13[[#This Row],[Aporte Realizado]])))</f>
        <v/>
      </c>
      <c r="H100" s="16"/>
      <c r="I100" s="17"/>
      <c r="J100" s="17"/>
      <c r="K100" s="17"/>
      <c r="L10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0" s="17">
        <v>18000</v>
      </c>
      <c r="N100" s="17">
        <v>15200</v>
      </c>
      <c r="O100" s="8">
        <f>Tabela13[[#This Row],[Receita Previsto]]-Tabela13[[#This Row],[Despesa Previsto]]</f>
        <v>2800</v>
      </c>
      <c r="P100" s="8">
        <f>Tabela13[[#This Row],[Receita Previsto]]-Tabela13[[#This Row],[Despesa Previsto]]</f>
        <v>2800</v>
      </c>
      <c r="Q100" s="1">
        <f t="shared" si="9"/>
        <v>5890.8800601811145</v>
      </c>
      <c r="R100" s="5">
        <v>8.8999999999999999E-3</v>
      </c>
      <c r="S100" s="7">
        <f>S99+Q100+Tabela13[[#This Row],[Geração Caixa Previsto]]+Tabela13[[#This Row],[Aporte Previsto]]</f>
        <v>673387.51603558729</v>
      </c>
      <c r="T100" s="15">
        <f t="shared" si="6"/>
        <v>112240.62463985539</v>
      </c>
      <c r="U100" s="15">
        <f t="shared" si="8"/>
        <v>229389.49633473955</v>
      </c>
      <c r="V100" s="15">
        <f t="shared" si="7"/>
        <v>31919.587385279625</v>
      </c>
      <c r="W100" s="1">
        <f>Tabela13[[#This Row],[Apto Previsto]]+Tabela13[[#This Row],[Carro Previsto]]</f>
        <v>261309.08372001917</v>
      </c>
      <c r="X100" s="1">
        <f>Tabela13[[#This Row],[ Investimento Previsto]]-Tabela13[[#This Row],[Dívidas Previsto]]+Tabela13[[#This Row],[Outros Patrimônios]]</f>
        <v>822455.97511575115</v>
      </c>
    </row>
    <row r="101" spans="1:24" x14ac:dyDescent="0.3">
      <c r="A101" s="6">
        <v>47939</v>
      </c>
      <c r="B101" s="21"/>
      <c r="C101" s="20"/>
      <c r="D101" s="7" t="str">
        <f>IF(Tabela13[[#This Row],[Despesa Realizado]]="","",Tabela13[[#This Row],[Receita Realizado]]-Tabela13[[#This Row],[Despesa Realizado]])</f>
        <v/>
      </c>
      <c r="E101" s="15"/>
      <c r="F101" s="7">
        <f>IF(Tabela13[[#This Row],[Aporte Realizado]]="",0,Tabela13[[#This Row],[Investimentos Realizado]]-I100-Tabela13[[#This Row],[Aporte Realizado]])</f>
        <v>0</v>
      </c>
      <c r="G101" s="5" t="str">
        <f>IF(Tabela13[[#This Row],[Aporte Realizado]]="","",Tabela13[[#This Row],[Rendimento Realizado R$]]/(Tabela13[[#This Row],[Investimentos Realizado]]-(Tabela13[[#This Row],[Aporte Realizado]])))</f>
        <v/>
      </c>
      <c r="H101" s="16"/>
      <c r="I101" s="17"/>
      <c r="J101" s="17"/>
      <c r="K101" s="17"/>
      <c r="L10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1" s="17">
        <v>18000</v>
      </c>
      <c r="N101" s="17">
        <v>15200</v>
      </c>
      <c r="O101" s="8">
        <f>Tabela13[[#This Row],[Receita Previsto]]-Tabela13[[#This Row],[Despesa Previsto]]</f>
        <v>2800</v>
      </c>
      <c r="P101" s="8">
        <f>Tabela13[[#This Row],[Receita Previsto]]-Tabela13[[#This Row],[Despesa Previsto]]</f>
        <v>2800</v>
      </c>
      <c r="Q101" s="1">
        <f t="shared" si="9"/>
        <v>5993.1488927167266</v>
      </c>
      <c r="R101" s="5">
        <v>8.8999999999999999E-3</v>
      </c>
      <c r="S101" s="7">
        <f>S100+Q101+Tabela13[[#This Row],[Geração Caixa Previsto]]+Tabela13[[#This Row],[Aporte Previsto]]</f>
        <v>684980.66492830403</v>
      </c>
      <c r="T101" s="15">
        <f t="shared" si="6"/>
        <v>111982.47120318373</v>
      </c>
      <c r="U101" s="15">
        <f t="shared" si="8"/>
        <v>229710.6416296082</v>
      </c>
      <c r="V101" s="15">
        <f t="shared" si="7"/>
        <v>31846.172334293482</v>
      </c>
      <c r="W101" s="1">
        <f>Tabela13[[#This Row],[Apto Previsto]]+Tabela13[[#This Row],[Carro Previsto]]</f>
        <v>261556.81396390169</v>
      </c>
      <c r="X101" s="1">
        <f>Tabela13[[#This Row],[ Investimento Previsto]]-Tabela13[[#This Row],[Dívidas Previsto]]+Tabela13[[#This Row],[Outros Patrimônios]]</f>
        <v>834555.00768902199</v>
      </c>
    </row>
    <row r="102" spans="1:24" x14ac:dyDescent="0.3">
      <c r="A102" s="6">
        <v>47969</v>
      </c>
      <c r="B102" s="21"/>
      <c r="C102" s="20"/>
      <c r="D102" s="7" t="str">
        <f>IF(Tabela13[[#This Row],[Despesa Realizado]]="","",Tabela13[[#This Row],[Receita Realizado]]-Tabela13[[#This Row],[Despesa Realizado]])</f>
        <v/>
      </c>
      <c r="E102" s="15"/>
      <c r="F102" s="7">
        <f>IF(Tabela13[[#This Row],[Aporte Realizado]]="",0,Tabela13[[#This Row],[Investimentos Realizado]]-I101-Tabela13[[#This Row],[Aporte Realizado]])</f>
        <v>0</v>
      </c>
      <c r="G102" s="5" t="str">
        <f>IF(Tabela13[[#This Row],[Aporte Realizado]]="","",Tabela13[[#This Row],[Rendimento Realizado R$]]/(Tabela13[[#This Row],[Investimentos Realizado]]-(Tabela13[[#This Row],[Aporte Realizado]])))</f>
        <v/>
      </c>
      <c r="H102" s="16"/>
      <c r="I102" s="17"/>
      <c r="J102" s="17"/>
      <c r="K102" s="17"/>
      <c r="L10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2" s="17">
        <v>18000</v>
      </c>
      <c r="N102" s="17">
        <v>15200</v>
      </c>
      <c r="O102" s="8">
        <f>Tabela13[[#This Row],[Receita Previsto]]-Tabela13[[#This Row],[Despesa Previsto]]</f>
        <v>2800</v>
      </c>
      <c r="P102" s="8">
        <f>Tabela13[[#This Row],[Receita Previsto]]-Tabela13[[#This Row],[Despesa Previsto]]</f>
        <v>2800</v>
      </c>
      <c r="Q102" s="1">
        <f t="shared" si="9"/>
        <v>6096.3279178619059</v>
      </c>
      <c r="R102" s="5">
        <v>8.8999999999999999E-3</v>
      </c>
      <c r="S102" s="7">
        <f>S101+Q102+Tabela13[[#This Row],[Geração Caixa Previsto]]+Tabela13[[#This Row],[Aporte Previsto]]</f>
        <v>696676.9928461659</v>
      </c>
      <c r="T102" s="15">
        <f t="shared" si="6"/>
        <v>111724.9115194164</v>
      </c>
      <c r="U102" s="15">
        <f t="shared" si="8"/>
        <v>230032.23652788968</v>
      </c>
      <c r="V102" s="15">
        <f t="shared" si="7"/>
        <v>31772.926137924609</v>
      </c>
      <c r="W102" s="1">
        <f>Tabela13[[#This Row],[Apto Previsto]]+Tabela13[[#This Row],[Carro Previsto]]</f>
        <v>261805.16266581428</v>
      </c>
      <c r="X102" s="1">
        <f>Tabela13[[#This Row],[ Investimento Previsto]]-Tabela13[[#This Row],[Dívidas Previsto]]+Tabela13[[#This Row],[Outros Patrimônios]]</f>
        <v>846757.2439925638</v>
      </c>
    </row>
    <row r="103" spans="1:24" x14ac:dyDescent="0.3">
      <c r="A103" s="6">
        <v>48000</v>
      </c>
      <c r="B103" s="21"/>
      <c r="C103" s="20"/>
      <c r="D103" s="7" t="str">
        <f>IF(Tabela13[[#This Row],[Despesa Realizado]]="","",Tabela13[[#This Row],[Receita Realizado]]-Tabela13[[#This Row],[Despesa Realizado]])</f>
        <v/>
      </c>
      <c r="E103" s="15"/>
      <c r="F103" s="7">
        <f>IF(Tabela13[[#This Row],[Aporte Realizado]]="",0,Tabela13[[#This Row],[Investimentos Realizado]]-I102-Tabela13[[#This Row],[Aporte Realizado]])</f>
        <v>0</v>
      </c>
      <c r="G103" s="5" t="str">
        <f>IF(Tabela13[[#This Row],[Aporte Realizado]]="","",Tabela13[[#This Row],[Rendimento Realizado R$]]/(Tabela13[[#This Row],[Investimentos Realizado]]-(Tabela13[[#This Row],[Aporte Realizado]])))</f>
        <v/>
      </c>
      <c r="H103" s="16"/>
      <c r="I103" s="17"/>
      <c r="J103" s="17"/>
      <c r="K103" s="17"/>
      <c r="L10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3" s="17">
        <v>18000</v>
      </c>
      <c r="N103" s="17">
        <v>15200</v>
      </c>
      <c r="O103" s="8">
        <f>Tabela13[[#This Row],[Receita Previsto]]-Tabela13[[#This Row],[Despesa Previsto]]</f>
        <v>2800</v>
      </c>
      <c r="P103" s="8">
        <f>Tabela13[[#This Row],[Receita Previsto]]-Tabela13[[#This Row],[Despesa Previsto]]</f>
        <v>2800</v>
      </c>
      <c r="Q103" s="1">
        <f t="shared" si="9"/>
        <v>6200.425236330876</v>
      </c>
      <c r="R103" s="5">
        <v>8.8999999999999999E-3</v>
      </c>
      <c r="S103" s="7">
        <f>S102+Q103+Tabela13[[#This Row],[Geração Caixa Previsto]]+Tabela13[[#This Row],[Aporte Previsto]]</f>
        <v>708477.41808249673</v>
      </c>
      <c r="T103" s="15">
        <f t="shared" si="6"/>
        <v>111467.94422292175</v>
      </c>
      <c r="U103" s="15">
        <f t="shared" si="8"/>
        <v>230354.28165902873</v>
      </c>
      <c r="V103" s="15">
        <f t="shared" si="7"/>
        <v>31699.848407807385</v>
      </c>
      <c r="W103" s="1">
        <f>Tabela13[[#This Row],[Apto Previsto]]+Tabela13[[#This Row],[Carro Previsto]]</f>
        <v>262054.13006683611</v>
      </c>
      <c r="X103" s="1">
        <f>Tabela13[[#This Row],[ Investimento Previsto]]-Tabela13[[#This Row],[Dívidas Previsto]]+Tabela13[[#This Row],[Outros Patrimônios]]</f>
        <v>859063.60392641113</v>
      </c>
    </row>
    <row r="104" spans="1:24" x14ac:dyDescent="0.3">
      <c r="A104" s="6">
        <v>48030</v>
      </c>
      <c r="B104" s="21"/>
      <c r="C104" s="20"/>
      <c r="D104" s="7" t="str">
        <f>IF(Tabela13[[#This Row],[Despesa Realizado]]="","",Tabela13[[#This Row],[Receita Realizado]]-Tabela13[[#This Row],[Despesa Realizado]])</f>
        <v/>
      </c>
      <c r="E104" s="15"/>
      <c r="F104" s="7">
        <f>IF(Tabela13[[#This Row],[Aporte Realizado]]="",0,Tabela13[[#This Row],[Investimentos Realizado]]-I103-Tabela13[[#This Row],[Aporte Realizado]])</f>
        <v>0</v>
      </c>
      <c r="G104" s="5" t="str">
        <f>IF(Tabela13[[#This Row],[Aporte Realizado]]="","",Tabela13[[#This Row],[Rendimento Realizado R$]]/(Tabela13[[#This Row],[Investimentos Realizado]]-(Tabela13[[#This Row],[Aporte Realizado]])))</f>
        <v/>
      </c>
      <c r="H104" s="16"/>
      <c r="I104" s="17"/>
      <c r="J104" s="17"/>
      <c r="K104" s="17"/>
      <c r="L10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4" s="17">
        <v>18000</v>
      </c>
      <c r="N104" s="17">
        <v>15200</v>
      </c>
      <c r="O104" s="8">
        <f>Tabela13[[#This Row],[Receita Previsto]]-Tabela13[[#This Row],[Despesa Previsto]]</f>
        <v>2800</v>
      </c>
      <c r="P104" s="8">
        <f>Tabela13[[#This Row],[Receita Previsto]]-Tabela13[[#This Row],[Despesa Previsto]]</f>
        <v>2800</v>
      </c>
      <c r="Q104" s="1">
        <f t="shared" si="9"/>
        <v>6305.4490209342212</v>
      </c>
      <c r="R104" s="5">
        <v>8.8999999999999999E-3</v>
      </c>
      <c r="S104" s="7">
        <f>S103+Q104+Tabela13[[#This Row],[Geração Caixa Previsto]]+Tabela13[[#This Row],[Aporte Previsto]]</f>
        <v>720382.86710343091</v>
      </c>
      <c r="T104" s="15">
        <f t="shared" si="6"/>
        <v>111211.56795120904</v>
      </c>
      <c r="U104" s="15">
        <f t="shared" si="8"/>
        <v>230676.77765335137</v>
      </c>
      <c r="V104" s="15">
        <f t="shared" si="7"/>
        <v>31626.93875646943</v>
      </c>
      <c r="W104" s="1">
        <f>Tabela13[[#This Row],[Apto Previsto]]+Tabela13[[#This Row],[Carro Previsto]]</f>
        <v>262303.71640982077</v>
      </c>
      <c r="X104" s="1">
        <f>Tabela13[[#This Row],[ Investimento Previsto]]-Tabela13[[#This Row],[Dívidas Previsto]]+Tabela13[[#This Row],[Outros Patrimônios]]</f>
        <v>871475.01556204259</v>
      </c>
    </row>
    <row r="105" spans="1:24" x14ac:dyDescent="0.3">
      <c r="A105" s="6">
        <v>48061</v>
      </c>
      <c r="B105" s="21"/>
      <c r="C105" s="20"/>
      <c r="D105" s="7" t="str">
        <f>IF(Tabela13[[#This Row],[Despesa Realizado]]="","",Tabela13[[#This Row],[Receita Realizado]]-Tabela13[[#This Row],[Despesa Realizado]])</f>
        <v/>
      </c>
      <c r="E105" s="15"/>
      <c r="F105" s="7">
        <f>IF(Tabela13[[#This Row],[Aporte Realizado]]="",0,Tabela13[[#This Row],[Investimentos Realizado]]-I104-Tabela13[[#This Row],[Aporte Realizado]])</f>
        <v>0</v>
      </c>
      <c r="G105" s="5" t="str">
        <f>IF(Tabela13[[#This Row],[Aporte Realizado]]="","",Tabela13[[#This Row],[Rendimento Realizado R$]]/(Tabela13[[#This Row],[Investimentos Realizado]]-(Tabela13[[#This Row],[Aporte Realizado]])))</f>
        <v/>
      </c>
      <c r="H105" s="16"/>
      <c r="I105" s="17"/>
      <c r="J105" s="17"/>
      <c r="K105" s="17"/>
      <c r="L10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5" s="17">
        <v>18000</v>
      </c>
      <c r="N105" s="17">
        <v>15200</v>
      </c>
      <c r="O105" s="8">
        <f>Tabela13[[#This Row],[Receita Previsto]]-Tabela13[[#This Row],[Despesa Previsto]]</f>
        <v>2800</v>
      </c>
      <c r="P105" s="8">
        <f>Tabela13[[#This Row],[Receita Previsto]]-Tabela13[[#This Row],[Despesa Previsto]]</f>
        <v>2800</v>
      </c>
      <c r="Q105" s="1">
        <f t="shared" si="9"/>
        <v>6411.4075172205348</v>
      </c>
      <c r="R105" s="5">
        <v>8.8999999999999999E-3</v>
      </c>
      <c r="S105" s="7">
        <f>S104+Q105+Tabela13[[#This Row],[Geração Caixa Previsto]]+Tabela13[[#This Row],[Aporte Previsto]]</f>
        <v>732394.2746206515</v>
      </c>
      <c r="T105" s="15">
        <f t="shared" si="6"/>
        <v>110955.78134492127</v>
      </c>
      <c r="U105" s="15">
        <f t="shared" si="8"/>
        <v>230999.72514206608</v>
      </c>
      <c r="V105" s="15">
        <f t="shared" si="7"/>
        <v>31554.19679732955</v>
      </c>
      <c r="W105" s="1">
        <f>Tabela13[[#This Row],[Apto Previsto]]+Tabela13[[#This Row],[Carro Previsto]]</f>
        <v>262553.9219393956</v>
      </c>
      <c r="X105" s="1">
        <f>Tabela13[[#This Row],[ Investimento Previsto]]-Tabela13[[#This Row],[Dívidas Previsto]]+Tabela13[[#This Row],[Outros Patrimônios]]</f>
        <v>883992.41521512577</v>
      </c>
    </row>
    <row r="106" spans="1:24" x14ac:dyDescent="0.3">
      <c r="A106" s="6">
        <v>48092</v>
      </c>
      <c r="B106" s="21"/>
      <c r="C106" s="20"/>
      <c r="D106" s="7" t="str">
        <f>IF(Tabela13[[#This Row],[Despesa Realizado]]="","",Tabela13[[#This Row],[Receita Realizado]]-Tabela13[[#This Row],[Despesa Realizado]])</f>
        <v/>
      </c>
      <c r="E106" s="15"/>
      <c r="F106" s="7">
        <f>IF(Tabela13[[#This Row],[Aporte Realizado]]="",0,Tabela13[[#This Row],[Investimentos Realizado]]-I105-Tabela13[[#This Row],[Aporte Realizado]])</f>
        <v>0</v>
      </c>
      <c r="G106" s="5" t="str">
        <f>IF(Tabela13[[#This Row],[Aporte Realizado]]="","",Tabela13[[#This Row],[Rendimento Realizado R$]]/(Tabela13[[#This Row],[Investimentos Realizado]]-(Tabela13[[#This Row],[Aporte Realizado]])))</f>
        <v/>
      </c>
      <c r="H106" s="16"/>
      <c r="I106" s="17"/>
      <c r="J106" s="17"/>
      <c r="K106" s="17"/>
      <c r="L10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6" s="17">
        <v>18000</v>
      </c>
      <c r="N106" s="17">
        <v>15200</v>
      </c>
      <c r="O106" s="8">
        <f>Tabela13[[#This Row],[Receita Previsto]]-Tabela13[[#This Row],[Despesa Previsto]]</f>
        <v>2800</v>
      </c>
      <c r="P106" s="8">
        <f>Tabela13[[#This Row],[Receita Previsto]]-Tabela13[[#This Row],[Despesa Previsto]]</f>
        <v>2800</v>
      </c>
      <c r="Q106" s="1">
        <f t="shared" si="9"/>
        <v>6518.3090441237982</v>
      </c>
      <c r="R106" s="5">
        <v>8.8999999999999999E-3</v>
      </c>
      <c r="S106" s="7">
        <f>S105+Q106+Tabela13[[#This Row],[Geração Caixa Previsto]]+Tabela13[[#This Row],[Aporte Previsto]]</f>
        <v>744512.58366477524</v>
      </c>
      <c r="T106" s="15">
        <f t="shared" si="6"/>
        <v>110700.58304782795</v>
      </c>
      <c r="U106" s="15">
        <f t="shared" si="8"/>
        <v>231323.12475726497</v>
      </c>
      <c r="V106" s="15">
        <f t="shared" si="7"/>
        <v>31481.622144695695</v>
      </c>
      <c r="W106" s="1">
        <f>Tabela13[[#This Row],[Apto Previsto]]+Tabela13[[#This Row],[Carro Previsto]]</f>
        <v>262804.74690196069</v>
      </c>
      <c r="X106" s="1">
        <f>Tabela13[[#This Row],[ Investimento Previsto]]-Tabela13[[#This Row],[Dívidas Previsto]]+Tabela13[[#This Row],[Outros Patrimônios]]</f>
        <v>896616.747518908</v>
      </c>
    </row>
    <row r="107" spans="1:24" x14ac:dyDescent="0.3">
      <c r="A107" s="6">
        <v>48122</v>
      </c>
      <c r="B107" s="21"/>
      <c r="C107" s="20"/>
      <c r="D107" s="7" t="str">
        <f>IF(Tabela13[[#This Row],[Despesa Realizado]]="","",Tabela13[[#This Row],[Receita Realizado]]-Tabela13[[#This Row],[Despesa Realizado]])</f>
        <v/>
      </c>
      <c r="E107" s="15"/>
      <c r="F107" s="7">
        <f>IF(Tabela13[[#This Row],[Aporte Realizado]]="",0,Tabela13[[#This Row],[Investimentos Realizado]]-I106-Tabela13[[#This Row],[Aporte Realizado]])</f>
        <v>0</v>
      </c>
      <c r="G107" s="5" t="str">
        <f>IF(Tabela13[[#This Row],[Aporte Realizado]]="","",Tabela13[[#This Row],[Rendimento Realizado R$]]/(Tabela13[[#This Row],[Investimentos Realizado]]-(Tabela13[[#This Row],[Aporte Realizado]])))</f>
        <v/>
      </c>
      <c r="H107" s="16"/>
      <c r="I107" s="17"/>
      <c r="J107" s="17"/>
      <c r="K107" s="17"/>
      <c r="L10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7" s="17">
        <v>18000</v>
      </c>
      <c r="N107" s="17">
        <v>15200</v>
      </c>
      <c r="O107" s="8">
        <f>Tabela13[[#This Row],[Receita Previsto]]-Tabela13[[#This Row],[Despesa Previsto]]</f>
        <v>2800</v>
      </c>
      <c r="P107" s="8">
        <f>Tabela13[[#This Row],[Receita Previsto]]-Tabela13[[#This Row],[Despesa Previsto]]</f>
        <v>2800</v>
      </c>
      <c r="Q107" s="1">
        <f t="shared" si="9"/>
        <v>6626.1619946164992</v>
      </c>
      <c r="R107" s="5">
        <v>8.8999999999999999E-3</v>
      </c>
      <c r="S107" s="7">
        <f>S106+Q107+Tabela13[[#This Row],[Geração Caixa Previsto]]+Tabela13[[#This Row],[Aporte Previsto]]</f>
        <v>756738.74565939174</v>
      </c>
      <c r="T107" s="15">
        <f t="shared" si="6"/>
        <v>110445.97170681795</v>
      </c>
      <c r="U107" s="15">
        <f t="shared" si="8"/>
        <v>231646.97713192517</v>
      </c>
      <c r="V107" s="15">
        <f t="shared" si="7"/>
        <v>31409.214413762897</v>
      </c>
      <c r="W107" s="1">
        <f>Tabela13[[#This Row],[Apto Previsto]]+Tabela13[[#This Row],[Carro Previsto]]</f>
        <v>263056.19154568808</v>
      </c>
      <c r="X107" s="1">
        <f>Tabela13[[#This Row],[ Investimento Previsto]]-Tabela13[[#This Row],[Dívidas Previsto]]+Tabela13[[#This Row],[Outros Patrimônios]]</f>
        <v>909348.96549826185</v>
      </c>
    </row>
    <row r="108" spans="1:24" x14ac:dyDescent="0.3">
      <c r="A108" s="6">
        <v>48153</v>
      </c>
      <c r="B108" s="21"/>
      <c r="C108" s="20"/>
      <c r="D108" s="7" t="str">
        <f>IF(Tabela13[[#This Row],[Despesa Realizado]]="","",Tabela13[[#This Row],[Receita Realizado]]-Tabela13[[#This Row],[Despesa Realizado]])</f>
        <v/>
      </c>
      <c r="E108" s="15"/>
      <c r="F108" s="7">
        <f>IF(Tabela13[[#This Row],[Aporte Realizado]]="",0,Tabela13[[#This Row],[Investimentos Realizado]]-I107-Tabela13[[#This Row],[Aporte Realizado]])</f>
        <v>0</v>
      </c>
      <c r="G108" s="5" t="str">
        <f>IF(Tabela13[[#This Row],[Aporte Realizado]]="","",Tabela13[[#This Row],[Rendimento Realizado R$]]/(Tabela13[[#This Row],[Investimentos Realizado]]-(Tabela13[[#This Row],[Aporte Realizado]])))</f>
        <v/>
      </c>
      <c r="H108" s="16"/>
      <c r="I108" s="17"/>
      <c r="J108" s="17"/>
      <c r="K108" s="17"/>
      <c r="L10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8" s="17">
        <v>18000</v>
      </c>
      <c r="N108" s="17">
        <v>15200</v>
      </c>
      <c r="O108" s="8">
        <f>Tabela13[[#This Row],[Receita Previsto]]-Tabela13[[#This Row],[Despesa Previsto]]</f>
        <v>2800</v>
      </c>
      <c r="P108" s="8">
        <f>Tabela13[[#This Row],[Receita Previsto]]-Tabela13[[#This Row],[Despesa Previsto]]</f>
        <v>2800</v>
      </c>
      <c r="Q108" s="1">
        <f t="shared" si="9"/>
        <v>6734.9748363685867</v>
      </c>
      <c r="R108" s="5">
        <v>8.8999999999999999E-3</v>
      </c>
      <c r="S108" s="7">
        <f>S107+Q108+Tabela13[[#This Row],[Geração Caixa Previsto]]+Tabela13[[#This Row],[Aporte Previsto]]</f>
        <v>769073.72049576032</v>
      </c>
      <c r="T108" s="15">
        <f t="shared" si="6"/>
        <v>110191.94597189227</v>
      </c>
      <c r="U108" s="15">
        <f t="shared" si="8"/>
        <v>231971.28289990989</v>
      </c>
      <c r="V108" s="15">
        <f t="shared" si="7"/>
        <v>31336.973220611242</v>
      </c>
      <c r="W108" s="1">
        <f>Tabela13[[#This Row],[Apto Previsto]]+Tabela13[[#This Row],[Carro Previsto]]</f>
        <v>263308.25612052111</v>
      </c>
      <c r="X108" s="1">
        <f>Tabela13[[#This Row],[ Investimento Previsto]]-Tabela13[[#This Row],[Dívidas Previsto]]+Tabela13[[#This Row],[Outros Patrimônios]]</f>
        <v>922190.0306443891</v>
      </c>
    </row>
    <row r="109" spans="1:24" x14ac:dyDescent="0.3">
      <c r="A109" s="6">
        <v>48183</v>
      </c>
      <c r="B109" s="21"/>
      <c r="C109" s="20"/>
      <c r="D109" s="7" t="str">
        <f>IF(Tabela13[[#This Row],[Despesa Realizado]]="","",Tabela13[[#This Row],[Receita Realizado]]-Tabela13[[#This Row],[Despesa Realizado]])</f>
        <v/>
      </c>
      <c r="E109" s="15"/>
      <c r="F109" s="7">
        <f>IF(Tabela13[[#This Row],[Aporte Realizado]]="",0,Tabela13[[#This Row],[Investimentos Realizado]]-I108-Tabela13[[#This Row],[Aporte Realizado]])</f>
        <v>0</v>
      </c>
      <c r="G109" s="5" t="str">
        <f>IF(Tabela13[[#This Row],[Aporte Realizado]]="","",Tabela13[[#This Row],[Rendimento Realizado R$]]/(Tabela13[[#This Row],[Investimentos Realizado]]-(Tabela13[[#This Row],[Aporte Realizado]])))</f>
        <v/>
      </c>
      <c r="H109" s="16"/>
      <c r="I109" s="17"/>
      <c r="J109" s="17"/>
      <c r="K109" s="17"/>
      <c r="L10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09" s="17">
        <v>18000</v>
      </c>
      <c r="N109" s="17">
        <v>15200</v>
      </c>
      <c r="O109" s="8">
        <f>Tabela13[[#This Row],[Receita Previsto]]-Tabela13[[#This Row],[Despesa Previsto]]</f>
        <v>2800</v>
      </c>
      <c r="P109" s="8">
        <f>Tabela13[[#This Row],[Receita Previsto]]-Tabela13[[#This Row],[Despesa Previsto]]</f>
        <v>2800</v>
      </c>
      <c r="Q109" s="1">
        <f t="shared" si="9"/>
        <v>6844.7561124122667</v>
      </c>
      <c r="R109" s="5">
        <v>8.8999999999999999E-3</v>
      </c>
      <c r="S109" s="7">
        <f>S108+Q109+Tabela13[[#This Row],[Geração Caixa Previsto]]+Tabela13[[#This Row],[Aporte Previsto]]</f>
        <v>781518.47660817264</v>
      </c>
      <c r="T109" s="15">
        <f t="shared" si="6"/>
        <v>109938.50449615692</v>
      </c>
      <c r="U109" s="15">
        <f t="shared" si="8"/>
        <v>232296.04269596978</v>
      </c>
      <c r="V109" s="15">
        <f t="shared" si="7"/>
        <v>31264.898182203837</v>
      </c>
      <c r="W109" s="1">
        <f>Tabela13[[#This Row],[Apto Previsto]]+Tabela13[[#This Row],[Carro Previsto]]</f>
        <v>263560.94087817363</v>
      </c>
      <c r="X109" s="1">
        <f>Tabela13[[#This Row],[ Investimento Previsto]]-Tabela13[[#This Row],[Dívidas Previsto]]+Tabela13[[#This Row],[Outros Patrimônios]]</f>
        <v>935140.91299018939</v>
      </c>
    </row>
    <row r="110" spans="1:24" x14ac:dyDescent="0.3">
      <c r="A110" s="6">
        <v>48214</v>
      </c>
      <c r="B110" s="21"/>
      <c r="C110" s="20"/>
      <c r="D110" s="7" t="str">
        <f>IF(Tabela13[[#This Row],[Despesa Realizado]]="","",Tabela13[[#This Row],[Receita Realizado]]-Tabela13[[#This Row],[Despesa Realizado]])</f>
        <v/>
      </c>
      <c r="E110" s="15"/>
      <c r="F110" s="7">
        <f>IF(Tabela13[[#This Row],[Aporte Realizado]]="",0,Tabela13[[#This Row],[Investimentos Realizado]]-I109-Tabela13[[#This Row],[Aporte Realizado]])</f>
        <v>0</v>
      </c>
      <c r="G110" s="5" t="str">
        <f>IF(Tabela13[[#This Row],[Aporte Realizado]]="","",Tabela13[[#This Row],[Rendimento Realizado R$]]/(Tabela13[[#This Row],[Investimentos Realizado]]-(Tabela13[[#This Row],[Aporte Realizado]])))</f>
        <v/>
      </c>
      <c r="H110" s="16"/>
      <c r="I110" s="17"/>
      <c r="J110" s="17"/>
      <c r="K110" s="17"/>
      <c r="L11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0" s="17">
        <v>18000</v>
      </c>
      <c r="N110" s="17">
        <v>15200</v>
      </c>
      <c r="O110" s="8">
        <f>Tabela13[[#This Row],[Receita Previsto]]-Tabela13[[#This Row],[Despesa Previsto]]</f>
        <v>2800</v>
      </c>
      <c r="P110" s="8">
        <f>Tabela13[[#This Row],[Receita Previsto]]-Tabela13[[#This Row],[Despesa Previsto]]</f>
        <v>2800</v>
      </c>
      <c r="Q110" s="1">
        <f t="shared" si="9"/>
        <v>6955.5144418127365</v>
      </c>
      <c r="R110" s="5">
        <v>8.8999999999999999E-3</v>
      </c>
      <c r="S110" s="7">
        <f>S109+Q110+Tabela13[[#This Row],[Geração Caixa Previsto]]+Tabela13[[#This Row],[Aporte Previsto]]</f>
        <v>794073.9910499854</v>
      </c>
      <c r="T110" s="15">
        <f t="shared" si="6"/>
        <v>109685.64593581576</v>
      </c>
      <c r="U110" s="15">
        <f t="shared" si="8"/>
        <v>232621.25715574416</v>
      </c>
      <c r="V110" s="15">
        <f t="shared" si="7"/>
        <v>31192.988916384769</v>
      </c>
      <c r="W110" s="1">
        <f>Tabela13[[#This Row],[Apto Previsto]]+Tabela13[[#This Row],[Carro Previsto]]</f>
        <v>263814.24607212894</v>
      </c>
      <c r="X110" s="1">
        <f>Tabela13[[#This Row],[ Investimento Previsto]]-Tabela13[[#This Row],[Dívidas Previsto]]+Tabela13[[#This Row],[Outros Patrimônios]]</f>
        <v>948202.59118629852</v>
      </c>
    </row>
    <row r="111" spans="1:24" x14ac:dyDescent="0.3">
      <c r="A111" s="6">
        <v>48245</v>
      </c>
      <c r="B111" s="21"/>
      <c r="C111" s="20"/>
      <c r="D111" s="7" t="str">
        <f>IF(Tabela13[[#This Row],[Despesa Realizado]]="","",Tabela13[[#This Row],[Receita Realizado]]-Tabela13[[#This Row],[Despesa Realizado]])</f>
        <v/>
      </c>
      <c r="E111" s="15"/>
      <c r="F111" s="7">
        <f>IF(Tabela13[[#This Row],[Aporte Realizado]]="",0,Tabela13[[#This Row],[Investimentos Realizado]]-I110-Tabela13[[#This Row],[Aporte Realizado]])</f>
        <v>0</v>
      </c>
      <c r="G111" s="5" t="str">
        <f>IF(Tabela13[[#This Row],[Aporte Realizado]]="","",Tabela13[[#This Row],[Rendimento Realizado R$]]/(Tabela13[[#This Row],[Investimentos Realizado]]-(Tabela13[[#This Row],[Aporte Realizado]])))</f>
        <v/>
      </c>
      <c r="H111" s="16"/>
      <c r="I111" s="17"/>
      <c r="J111" s="17"/>
      <c r="K111" s="17"/>
      <c r="L11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1" s="17">
        <v>18000</v>
      </c>
      <c r="N111" s="17">
        <v>15200</v>
      </c>
      <c r="O111" s="8">
        <f>Tabela13[[#This Row],[Receita Previsto]]-Tabela13[[#This Row],[Despesa Previsto]]</f>
        <v>2800</v>
      </c>
      <c r="P111" s="8">
        <f>Tabela13[[#This Row],[Receita Previsto]]-Tabela13[[#This Row],[Despesa Previsto]]</f>
        <v>2800</v>
      </c>
      <c r="Q111" s="1">
        <f t="shared" si="9"/>
        <v>7067.2585203448698</v>
      </c>
      <c r="R111" s="5">
        <v>8.8999999999999999E-3</v>
      </c>
      <c r="S111" s="7">
        <f>S110+Q111+Tabela13[[#This Row],[Geração Caixa Previsto]]+Tabela13[[#This Row],[Aporte Previsto]]</f>
        <v>806741.24957033026</v>
      </c>
      <c r="T111" s="15">
        <f t="shared" si="6"/>
        <v>109433.36895016339</v>
      </c>
      <c r="U111" s="15">
        <f t="shared" si="8"/>
        <v>232946.92691576222</v>
      </c>
      <c r="V111" s="15">
        <f t="shared" si="7"/>
        <v>31121.245041877086</v>
      </c>
      <c r="W111" s="1">
        <f>Tabela13[[#This Row],[Apto Previsto]]+Tabela13[[#This Row],[Carro Previsto]]</f>
        <v>264068.17195763928</v>
      </c>
      <c r="X111" s="1">
        <f>Tabela13[[#This Row],[ Investimento Previsto]]-Tabela13[[#This Row],[Dívidas Previsto]]+Tabela13[[#This Row],[Outros Patrimônios]]</f>
        <v>961376.05257780617</v>
      </c>
    </row>
    <row r="112" spans="1:24" x14ac:dyDescent="0.3">
      <c r="A112" s="6">
        <v>48274</v>
      </c>
      <c r="B112" s="21"/>
      <c r="C112" s="20"/>
      <c r="D112" s="7" t="str">
        <f>IF(Tabela13[[#This Row],[Despesa Realizado]]="","",Tabela13[[#This Row],[Receita Realizado]]-Tabela13[[#This Row],[Despesa Realizado]])</f>
        <v/>
      </c>
      <c r="E112" s="15"/>
      <c r="F112" s="7">
        <f>IF(Tabela13[[#This Row],[Aporte Realizado]]="",0,Tabela13[[#This Row],[Investimentos Realizado]]-I111-Tabela13[[#This Row],[Aporte Realizado]])</f>
        <v>0</v>
      </c>
      <c r="G112" s="5" t="str">
        <f>IF(Tabela13[[#This Row],[Aporte Realizado]]="","",Tabela13[[#This Row],[Rendimento Realizado R$]]/(Tabela13[[#This Row],[Investimentos Realizado]]-(Tabela13[[#This Row],[Aporte Realizado]])))</f>
        <v/>
      </c>
      <c r="H112" s="16"/>
      <c r="I112" s="17"/>
      <c r="J112" s="17"/>
      <c r="K112" s="17"/>
      <c r="L11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2" s="17">
        <v>18000</v>
      </c>
      <c r="N112" s="17">
        <v>15200</v>
      </c>
      <c r="O112" s="8">
        <f>Tabela13[[#This Row],[Receita Previsto]]-Tabela13[[#This Row],[Despesa Previsto]]</f>
        <v>2800</v>
      </c>
      <c r="P112" s="8">
        <f>Tabela13[[#This Row],[Receita Previsto]]-Tabela13[[#This Row],[Despesa Previsto]]</f>
        <v>2800</v>
      </c>
      <c r="Q112" s="1">
        <f t="shared" si="9"/>
        <v>7179.9971211759394</v>
      </c>
      <c r="R112" s="5">
        <v>8.8999999999999999E-3</v>
      </c>
      <c r="S112" s="7">
        <f>S111+Q112+Tabela13[[#This Row],[Geração Caixa Previsto]]+Tabela13[[#This Row],[Aporte Previsto]]</f>
        <v>819521.24669150624</v>
      </c>
      <c r="T112" s="15">
        <f t="shared" si="6"/>
        <v>109181.67220157803</v>
      </c>
      <c r="U112" s="15">
        <f t="shared" si="8"/>
        <v>233273.05261344431</v>
      </c>
      <c r="V112" s="15">
        <f t="shared" si="7"/>
        <v>31049.666178280768</v>
      </c>
      <c r="W112" s="1">
        <f>Tabela13[[#This Row],[Apto Previsto]]+Tabela13[[#This Row],[Carro Previsto]]</f>
        <v>264322.71879172506</v>
      </c>
      <c r="X112" s="1">
        <f>Tabela13[[#This Row],[ Investimento Previsto]]-Tabela13[[#This Row],[Dívidas Previsto]]+Tabela13[[#This Row],[Outros Patrimônios]]</f>
        <v>974662.2932816532</v>
      </c>
    </row>
    <row r="113" spans="1:24" x14ac:dyDescent="0.3">
      <c r="A113" s="6">
        <v>48305</v>
      </c>
      <c r="B113" s="21"/>
      <c r="C113" s="20"/>
      <c r="D113" s="7" t="str">
        <f>IF(Tabela13[[#This Row],[Despesa Realizado]]="","",Tabela13[[#This Row],[Receita Realizado]]-Tabela13[[#This Row],[Despesa Realizado]])</f>
        <v/>
      </c>
      <c r="E113" s="15"/>
      <c r="F113" s="7">
        <f>IF(Tabela13[[#This Row],[Aporte Realizado]]="",0,Tabela13[[#This Row],[Investimentos Realizado]]-I112-Tabela13[[#This Row],[Aporte Realizado]])</f>
        <v>0</v>
      </c>
      <c r="G113" s="5" t="str">
        <f>IF(Tabela13[[#This Row],[Aporte Realizado]]="","",Tabela13[[#This Row],[Rendimento Realizado R$]]/(Tabela13[[#This Row],[Investimentos Realizado]]-(Tabela13[[#This Row],[Aporte Realizado]])))</f>
        <v/>
      </c>
      <c r="H113" s="16"/>
      <c r="I113" s="17"/>
      <c r="J113" s="17"/>
      <c r="K113" s="17"/>
      <c r="L11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3" s="17">
        <v>18000</v>
      </c>
      <c r="N113" s="17">
        <v>15200</v>
      </c>
      <c r="O113" s="8">
        <f>Tabela13[[#This Row],[Receita Previsto]]-Tabela13[[#This Row],[Despesa Previsto]]</f>
        <v>2800</v>
      </c>
      <c r="P113" s="8">
        <f>Tabela13[[#This Row],[Receita Previsto]]-Tabela13[[#This Row],[Despesa Previsto]]</f>
        <v>2800</v>
      </c>
      <c r="Q113" s="1">
        <f t="shared" si="9"/>
        <v>7293.7390955544051</v>
      </c>
      <c r="R113" s="5">
        <v>8.8999999999999999E-3</v>
      </c>
      <c r="S113" s="7">
        <f>S112+Q113+Tabela13[[#This Row],[Geração Caixa Previsto]]+Tabela13[[#This Row],[Aporte Previsto]]</f>
        <v>832414.98578706069</v>
      </c>
      <c r="T113" s="15">
        <f t="shared" si="6"/>
        <v>108930.5543555144</v>
      </c>
      <c r="U113" s="15">
        <f t="shared" si="8"/>
        <v>233599.63488710314</v>
      </c>
      <c r="V113" s="15">
        <f t="shared" si="7"/>
        <v>30978.251946070723</v>
      </c>
      <c r="W113" s="1">
        <f>Tabela13[[#This Row],[Apto Previsto]]+Tabela13[[#This Row],[Carro Previsto]]</f>
        <v>264577.88683317386</v>
      </c>
      <c r="X113" s="1">
        <f>Tabela13[[#This Row],[ Investimento Previsto]]-Tabela13[[#This Row],[Dívidas Previsto]]+Tabela13[[#This Row],[Outros Patrimônios]]</f>
        <v>988062.31826472026</v>
      </c>
    </row>
    <row r="114" spans="1:24" x14ac:dyDescent="0.3">
      <c r="A114" s="6">
        <v>48335</v>
      </c>
      <c r="B114" s="21"/>
      <c r="C114" s="20"/>
      <c r="D114" s="7" t="str">
        <f>IF(Tabela13[[#This Row],[Despesa Realizado]]="","",Tabela13[[#This Row],[Receita Realizado]]-Tabela13[[#This Row],[Despesa Realizado]])</f>
        <v/>
      </c>
      <c r="E114" s="15"/>
      <c r="F114" s="7">
        <f>IF(Tabela13[[#This Row],[Aporte Realizado]]="",0,Tabela13[[#This Row],[Investimentos Realizado]]-I113-Tabela13[[#This Row],[Aporte Realizado]])</f>
        <v>0</v>
      </c>
      <c r="G114" s="5" t="str">
        <f>IF(Tabela13[[#This Row],[Aporte Realizado]]="","",Tabela13[[#This Row],[Rendimento Realizado R$]]/(Tabela13[[#This Row],[Investimentos Realizado]]-(Tabela13[[#This Row],[Aporte Realizado]])))</f>
        <v/>
      </c>
      <c r="H114" s="16"/>
      <c r="I114" s="17"/>
      <c r="J114" s="17"/>
      <c r="K114" s="17"/>
      <c r="L11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4" s="17">
        <v>18000</v>
      </c>
      <c r="N114" s="17">
        <v>15200</v>
      </c>
      <c r="O114" s="8">
        <f>Tabela13[[#This Row],[Receita Previsto]]-Tabela13[[#This Row],[Despesa Previsto]]</f>
        <v>2800</v>
      </c>
      <c r="P114" s="8">
        <f>Tabela13[[#This Row],[Receita Previsto]]-Tabela13[[#This Row],[Despesa Previsto]]</f>
        <v>2800</v>
      </c>
      <c r="Q114" s="1">
        <f t="shared" si="9"/>
        <v>7408.4933735048398</v>
      </c>
      <c r="R114" s="5">
        <v>8.8999999999999999E-3</v>
      </c>
      <c r="S114" s="7">
        <f>S113+Q114+Tabela13[[#This Row],[Geração Caixa Previsto]]+Tabela13[[#This Row],[Aporte Previsto]]</f>
        <v>845423.47916056553</v>
      </c>
      <c r="T114" s="15">
        <f t="shared" si="6"/>
        <v>108680.01408049672</v>
      </c>
      <c r="U114" s="15">
        <f t="shared" si="8"/>
        <v>233926.67437594509</v>
      </c>
      <c r="V114" s="15">
        <f t="shared" si="7"/>
        <v>30907.001966594762</v>
      </c>
      <c r="W114" s="1">
        <f>Tabela13[[#This Row],[Apto Previsto]]+Tabela13[[#This Row],[Carro Previsto]]</f>
        <v>264833.67634253984</v>
      </c>
      <c r="X114" s="1">
        <f>Tabela13[[#This Row],[ Investimento Previsto]]-Tabela13[[#This Row],[Dívidas Previsto]]+Tabela13[[#This Row],[Outros Patrimônios]]</f>
        <v>1001577.1414226086</v>
      </c>
    </row>
    <row r="115" spans="1:24" x14ac:dyDescent="0.3">
      <c r="A115" s="6">
        <v>48366</v>
      </c>
      <c r="B115" s="21"/>
      <c r="C115" s="20"/>
      <c r="D115" s="7" t="str">
        <f>IF(Tabela13[[#This Row],[Despesa Realizado]]="","",Tabela13[[#This Row],[Receita Realizado]]-Tabela13[[#This Row],[Despesa Realizado]])</f>
        <v/>
      </c>
      <c r="E115" s="15"/>
      <c r="F115" s="7">
        <f>IF(Tabela13[[#This Row],[Aporte Realizado]]="",0,Tabela13[[#This Row],[Investimentos Realizado]]-I114-Tabela13[[#This Row],[Aporte Realizado]])</f>
        <v>0</v>
      </c>
      <c r="G115" s="5" t="str">
        <f>IF(Tabela13[[#This Row],[Aporte Realizado]]="","",Tabela13[[#This Row],[Rendimento Realizado R$]]/(Tabela13[[#This Row],[Investimentos Realizado]]-(Tabela13[[#This Row],[Aporte Realizado]])))</f>
        <v/>
      </c>
      <c r="H115" s="16"/>
      <c r="I115" s="17"/>
      <c r="J115" s="17"/>
      <c r="K115" s="17"/>
      <c r="L11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5" s="17">
        <v>18000</v>
      </c>
      <c r="N115" s="17">
        <v>15200</v>
      </c>
      <c r="O115" s="8">
        <f>Tabela13[[#This Row],[Receita Previsto]]-Tabela13[[#This Row],[Despesa Previsto]]</f>
        <v>2800</v>
      </c>
      <c r="P115" s="8">
        <f>Tabela13[[#This Row],[Receita Previsto]]-Tabela13[[#This Row],[Despesa Previsto]]</f>
        <v>2800</v>
      </c>
      <c r="Q115" s="1">
        <f t="shared" si="9"/>
        <v>7524.2689645290329</v>
      </c>
      <c r="R115" s="5">
        <v>8.8999999999999999E-3</v>
      </c>
      <c r="S115" s="7">
        <f>S114+Q115+Tabela13[[#This Row],[Geração Caixa Previsto]]+Tabela13[[#This Row],[Aporte Previsto]]</f>
        <v>858547.74812509457</v>
      </c>
      <c r="T115" s="15">
        <f t="shared" si="6"/>
        <v>108430.05004811159</v>
      </c>
      <c r="U115" s="15">
        <f t="shared" si="8"/>
        <v>234254.17172007143</v>
      </c>
      <c r="V115" s="15">
        <f t="shared" si="7"/>
        <v>30835.915862071593</v>
      </c>
      <c r="W115" s="1">
        <f>Tabela13[[#This Row],[Apto Previsto]]+Tabela13[[#This Row],[Carro Previsto]]</f>
        <v>265090.08758214302</v>
      </c>
      <c r="X115" s="1">
        <f>Tabela13[[#This Row],[ Investimento Previsto]]-Tabela13[[#This Row],[Dívidas Previsto]]+Tabela13[[#This Row],[Outros Patrimônios]]</f>
        <v>1015207.785659126</v>
      </c>
    </row>
    <row r="116" spans="1:24" x14ac:dyDescent="0.3">
      <c r="A116" s="6">
        <v>48396</v>
      </c>
      <c r="B116" s="21"/>
      <c r="C116" s="20"/>
      <c r="D116" s="7" t="str">
        <f>IF(Tabela13[[#This Row],[Despesa Realizado]]="","",Tabela13[[#This Row],[Receita Realizado]]-Tabela13[[#This Row],[Despesa Realizado]])</f>
        <v/>
      </c>
      <c r="E116" s="15"/>
      <c r="F116" s="7">
        <f>IF(Tabela13[[#This Row],[Aporte Realizado]]="",0,Tabela13[[#This Row],[Investimentos Realizado]]-I115-Tabela13[[#This Row],[Aporte Realizado]])</f>
        <v>0</v>
      </c>
      <c r="G116" s="5" t="str">
        <f>IF(Tabela13[[#This Row],[Aporte Realizado]]="","",Tabela13[[#This Row],[Rendimento Realizado R$]]/(Tabela13[[#This Row],[Investimentos Realizado]]-(Tabela13[[#This Row],[Aporte Realizado]])))</f>
        <v/>
      </c>
      <c r="H116" s="16"/>
      <c r="I116" s="17"/>
      <c r="J116" s="17"/>
      <c r="K116" s="17"/>
      <c r="L11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6" s="17">
        <v>18000</v>
      </c>
      <c r="N116" s="17">
        <v>15200</v>
      </c>
      <c r="O116" s="8">
        <f>Tabela13[[#This Row],[Receita Previsto]]-Tabela13[[#This Row],[Despesa Previsto]]</f>
        <v>2800</v>
      </c>
      <c r="P116" s="8">
        <f>Tabela13[[#This Row],[Receita Previsto]]-Tabela13[[#This Row],[Despesa Previsto]]</f>
        <v>2800</v>
      </c>
      <c r="Q116" s="1">
        <f t="shared" si="9"/>
        <v>7641.074958313342</v>
      </c>
      <c r="R116" s="5">
        <v>8.8999999999999999E-3</v>
      </c>
      <c r="S116" s="7">
        <f>S115+Q116+Tabela13[[#This Row],[Geração Caixa Previsto]]+Tabela13[[#This Row],[Aporte Previsto]]</f>
        <v>871788.82308340794</v>
      </c>
      <c r="T116" s="15">
        <f t="shared" si="6"/>
        <v>108180.66093300094</v>
      </c>
      <c r="U116" s="15">
        <f t="shared" si="8"/>
        <v>234582.12756047954</v>
      </c>
      <c r="V116" s="15">
        <f t="shared" si="7"/>
        <v>30764.99325558883</v>
      </c>
      <c r="W116" s="1">
        <f>Tabela13[[#This Row],[Apto Previsto]]+Tabela13[[#This Row],[Carro Previsto]]</f>
        <v>265347.12081606837</v>
      </c>
      <c r="X116" s="1">
        <f>Tabela13[[#This Row],[ Investimento Previsto]]-Tabela13[[#This Row],[Dívidas Previsto]]+Tabela13[[#This Row],[Outros Patrimônios]]</f>
        <v>1028955.2829664754</v>
      </c>
    </row>
    <row r="117" spans="1:24" x14ac:dyDescent="0.3">
      <c r="A117" s="6">
        <v>48427</v>
      </c>
      <c r="B117" s="21"/>
      <c r="C117" s="20"/>
      <c r="D117" s="7" t="str">
        <f>IF(Tabela13[[#This Row],[Despesa Realizado]]="","",Tabela13[[#This Row],[Receita Realizado]]-Tabela13[[#This Row],[Despesa Realizado]])</f>
        <v/>
      </c>
      <c r="E117" s="15"/>
      <c r="F117" s="7">
        <f>IF(Tabela13[[#This Row],[Aporte Realizado]]="",0,Tabela13[[#This Row],[Investimentos Realizado]]-I116-Tabela13[[#This Row],[Aporte Realizado]])</f>
        <v>0</v>
      </c>
      <c r="G117" s="5" t="str">
        <f>IF(Tabela13[[#This Row],[Aporte Realizado]]="","",Tabela13[[#This Row],[Rendimento Realizado R$]]/(Tabela13[[#This Row],[Investimentos Realizado]]-(Tabela13[[#This Row],[Aporte Realizado]])))</f>
        <v/>
      </c>
      <c r="H117" s="16"/>
      <c r="I117" s="17"/>
      <c r="J117" s="17"/>
      <c r="K117" s="17"/>
      <c r="L11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7" s="17">
        <v>18000</v>
      </c>
      <c r="N117" s="17">
        <v>15200</v>
      </c>
      <c r="O117" s="8">
        <f>Tabela13[[#This Row],[Receita Previsto]]-Tabela13[[#This Row],[Despesa Previsto]]</f>
        <v>2800</v>
      </c>
      <c r="P117" s="8">
        <f>Tabela13[[#This Row],[Receita Previsto]]-Tabela13[[#This Row],[Despesa Previsto]]</f>
        <v>2800</v>
      </c>
      <c r="Q117" s="1">
        <f t="shared" si="9"/>
        <v>7758.9205254423305</v>
      </c>
      <c r="R117" s="5">
        <v>8.8999999999999999E-3</v>
      </c>
      <c r="S117" s="7">
        <f>S116+Q117+Tabela13[[#This Row],[Geração Caixa Previsto]]+Tabela13[[#This Row],[Aporte Previsto]]</f>
        <v>885147.74360885029</v>
      </c>
      <c r="T117" s="15">
        <f t="shared" si="6"/>
        <v>107931.84541285504</v>
      </c>
      <c r="U117" s="15">
        <f t="shared" si="8"/>
        <v>234910.54253906422</v>
      </c>
      <c r="V117" s="15">
        <f t="shared" si="7"/>
        <v>30694.233771100975</v>
      </c>
      <c r="W117" s="1">
        <f>Tabela13[[#This Row],[Apto Previsto]]+Tabela13[[#This Row],[Carro Previsto]]</f>
        <v>265604.77631016518</v>
      </c>
      <c r="X117" s="1">
        <f>Tabela13[[#This Row],[ Investimento Previsto]]-Tabela13[[#This Row],[Dívidas Previsto]]+Tabela13[[#This Row],[Outros Patrimônios]]</f>
        <v>1042820.6745061604</v>
      </c>
    </row>
    <row r="118" spans="1:24" x14ac:dyDescent="0.3">
      <c r="A118" s="6">
        <v>48458</v>
      </c>
      <c r="B118" s="21"/>
      <c r="C118" s="20"/>
      <c r="D118" s="7" t="str">
        <f>IF(Tabela13[[#This Row],[Despesa Realizado]]="","",Tabela13[[#This Row],[Receita Realizado]]-Tabela13[[#This Row],[Despesa Realizado]])</f>
        <v/>
      </c>
      <c r="E118" s="15"/>
      <c r="F118" s="7">
        <f>IF(Tabela13[[#This Row],[Aporte Realizado]]="",0,Tabela13[[#This Row],[Investimentos Realizado]]-I117-Tabela13[[#This Row],[Aporte Realizado]])</f>
        <v>0</v>
      </c>
      <c r="G118" s="5" t="str">
        <f>IF(Tabela13[[#This Row],[Aporte Realizado]]="","",Tabela13[[#This Row],[Rendimento Realizado R$]]/(Tabela13[[#This Row],[Investimentos Realizado]]-(Tabela13[[#This Row],[Aporte Realizado]])))</f>
        <v/>
      </c>
      <c r="H118" s="16"/>
      <c r="I118" s="17"/>
      <c r="J118" s="17"/>
      <c r="K118" s="17"/>
      <c r="L11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8" s="17">
        <v>18000</v>
      </c>
      <c r="N118" s="17">
        <v>15200</v>
      </c>
      <c r="O118" s="8">
        <f>Tabela13[[#This Row],[Receita Previsto]]-Tabela13[[#This Row],[Despesa Previsto]]</f>
        <v>2800</v>
      </c>
      <c r="P118" s="8">
        <f>Tabela13[[#This Row],[Receita Previsto]]-Tabela13[[#This Row],[Despesa Previsto]]</f>
        <v>2800</v>
      </c>
      <c r="Q118" s="1">
        <f t="shared" si="9"/>
        <v>7877.8149181187673</v>
      </c>
      <c r="R118" s="5">
        <v>8.8999999999999999E-3</v>
      </c>
      <c r="S118" s="7">
        <f>S117+Q118+Tabela13[[#This Row],[Geração Caixa Previsto]]+Tabela13[[#This Row],[Aporte Previsto]]</f>
        <v>898625.55852696905</v>
      </c>
      <c r="T118" s="15">
        <f t="shared" si="6"/>
        <v>107683.60216840547</v>
      </c>
      <c r="U118" s="15">
        <f t="shared" si="8"/>
        <v>235239.41729861894</v>
      </c>
      <c r="V118" s="15">
        <f t="shared" si="7"/>
        <v>30623.637033427443</v>
      </c>
      <c r="W118" s="1">
        <f>Tabela13[[#This Row],[Apto Previsto]]+Tabela13[[#This Row],[Carro Previsto]]</f>
        <v>265863.05433204636</v>
      </c>
      <c r="X118" s="1">
        <f>Tabela13[[#This Row],[ Investimento Previsto]]-Tabela13[[#This Row],[Dívidas Previsto]]+Tabela13[[#This Row],[Outros Patrimônios]]</f>
        <v>1056805.0106906099</v>
      </c>
    </row>
    <row r="119" spans="1:24" x14ac:dyDescent="0.3">
      <c r="A119" s="6">
        <v>48488</v>
      </c>
      <c r="B119" s="21"/>
      <c r="C119" s="20"/>
      <c r="D119" s="7" t="str">
        <f>IF(Tabela13[[#This Row],[Despesa Realizado]]="","",Tabela13[[#This Row],[Receita Realizado]]-Tabela13[[#This Row],[Despesa Realizado]])</f>
        <v/>
      </c>
      <c r="E119" s="15"/>
      <c r="F119" s="7">
        <f>IF(Tabela13[[#This Row],[Aporte Realizado]]="",0,Tabela13[[#This Row],[Investimentos Realizado]]-I118-Tabela13[[#This Row],[Aporte Realizado]])</f>
        <v>0</v>
      </c>
      <c r="G119" s="5" t="str">
        <f>IF(Tabela13[[#This Row],[Aporte Realizado]]="","",Tabela13[[#This Row],[Rendimento Realizado R$]]/(Tabela13[[#This Row],[Investimentos Realizado]]-(Tabela13[[#This Row],[Aporte Realizado]])))</f>
        <v/>
      </c>
      <c r="H119" s="16"/>
      <c r="I119" s="17"/>
      <c r="J119" s="17"/>
      <c r="K119" s="17"/>
      <c r="L11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19" s="17">
        <v>18000</v>
      </c>
      <c r="N119" s="17">
        <v>15200</v>
      </c>
      <c r="O119" s="8">
        <f>Tabela13[[#This Row],[Receita Previsto]]-Tabela13[[#This Row],[Despesa Previsto]]</f>
        <v>2800</v>
      </c>
      <c r="P119" s="8">
        <f>Tabela13[[#This Row],[Receita Previsto]]-Tabela13[[#This Row],[Despesa Previsto]]</f>
        <v>2800</v>
      </c>
      <c r="Q119" s="1">
        <f t="shared" si="9"/>
        <v>7997.7674708900249</v>
      </c>
      <c r="R119" s="5">
        <v>8.8999999999999999E-3</v>
      </c>
      <c r="S119" s="7">
        <f>S118+Q119+Tabela13[[#This Row],[Geração Caixa Previsto]]+Tabela13[[#This Row],[Aporte Previsto]]</f>
        <v>912223.32599785912</v>
      </c>
      <c r="T119" s="15">
        <f t="shared" si="6"/>
        <v>107435.92988341814</v>
      </c>
      <c r="U119" s="15">
        <f t="shared" si="8"/>
        <v>235568.75248283701</v>
      </c>
      <c r="V119" s="15">
        <f t="shared" si="7"/>
        <v>30553.20266825056</v>
      </c>
      <c r="W119" s="1">
        <f>Tabela13[[#This Row],[Apto Previsto]]+Tabela13[[#This Row],[Carro Previsto]]</f>
        <v>266121.95515108755</v>
      </c>
      <c r="X119" s="1">
        <f>Tabela13[[#This Row],[ Investimento Previsto]]-Tabela13[[#This Row],[Dívidas Previsto]]+Tabela13[[#This Row],[Outros Patrimônios]]</f>
        <v>1070909.3512655285</v>
      </c>
    </row>
    <row r="120" spans="1:24" x14ac:dyDescent="0.3">
      <c r="A120" s="6">
        <v>48519</v>
      </c>
      <c r="B120" s="21"/>
      <c r="C120" s="20"/>
      <c r="D120" s="7" t="str">
        <f>IF(Tabela13[[#This Row],[Despesa Realizado]]="","",Tabela13[[#This Row],[Receita Realizado]]-Tabela13[[#This Row],[Despesa Realizado]])</f>
        <v/>
      </c>
      <c r="E120" s="15"/>
      <c r="F120" s="7">
        <f>IF(Tabela13[[#This Row],[Aporte Realizado]]="",0,Tabela13[[#This Row],[Investimentos Realizado]]-I119-Tabela13[[#This Row],[Aporte Realizado]])</f>
        <v>0</v>
      </c>
      <c r="G120" s="5" t="str">
        <f>IF(Tabela13[[#This Row],[Aporte Realizado]]="","",Tabela13[[#This Row],[Rendimento Realizado R$]]/(Tabela13[[#This Row],[Investimentos Realizado]]-(Tabela13[[#This Row],[Aporte Realizado]])))</f>
        <v/>
      </c>
      <c r="H120" s="16"/>
      <c r="I120" s="17"/>
      <c r="J120" s="17"/>
      <c r="K120" s="17"/>
      <c r="L12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0" s="17">
        <v>18000</v>
      </c>
      <c r="N120" s="17">
        <v>15200</v>
      </c>
      <c r="O120" s="8">
        <f>Tabela13[[#This Row],[Receita Previsto]]-Tabela13[[#This Row],[Despesa Previsto]]</f>
        <v>2800</v>
      </c>
      <c r="P120" s="8">
        <f>Tabela13[[#This Row],[Receita Previsto]]-Tabela13[[#This Row],[Despesa Previsto]]</f>
        <v>2800</v>
      </c>
      <c r="Q120" s="1">
        <f t="shared" si="9"/>
        <v>8118.7876013809464</v>
      </c>
      <c r="R120" s="5">
        <v>8.8999999999999999E-3</v>
      </c>
      <c r="S120" s="7">
        <f>S119+Q120+Tabela13[[#This Row],[Geração Caixa Previsto]]+Tabela13[[#This Row],[Aporte Previsto]]</f>
        <v>925942.11359924008</v>
      </c>
      <c r="T120" s="15">
        <f t="shared" si="6"/>
        <v>107188.82724468628</v>
      </c>
      <c r="U120" s="15">
        <f t="shared" si="8"/>
        <v>235898.54873631301</v>
      </c>
      <c r="V120" s="15">
        <f t="shared" si="7"/>
        <v>30482.930302113586</v>
      </c>
      <c r="W120" s="1">
        <f>Tabela13[[#This Row],[Apto Previsto]]+Tabela13[[#This Row],[Carro Previsto]]</f>
        <v>266381.47903842659</v>
      </c>
      <c r="X120" s="1">
        <f>Tabela13[[#This Row],[ Investimento Previsto]]-Tabela13[[#This Row],[Dívidas Previsto]]+Tabela13[[#This Row],[Outros Patrimônios]]</f>
        <v>1085134.7653929803</v>
      </c>
    </row>
    <row r="121" spans="1:24" x14ac:dyDescent="0.3">
      <c r="A121" s="6">
        <v>48549</v>
      </c>
      <c r="B121" s="21"/>
      <c r="C121" s="20"/>
      <c r="D121" s="7" t="str">
        <f>IF(Tabela13[[#This Row],[Despesa Realizado]]="","",Tabela13[[#This Row],[Receita Realizado]]-Tabela13[[#This Row],[Despesa Realizado]])</f>
        <v/>
      </c>
      <c r="E121" s="15"/>
      <c r="F121" s="7">
        <f>IF(Tabela13[[#This Row],[Aporte Realizado]]="",0,Tabela13[[#This Row],[Investimentos Realizado]]-I120-Tabela13[[#This Row],[Aporte Realizado]])</f>
        <v>0</v>
      </c>
      <c r="G121" s="5" t="str">
        <f>IF(Tabela13[[#This Row],[Aporte Realizado]]="","",Tabela13[[#This Row],[Rendimento Realizado R$]]/(Tabela13[[#This Row],[Investimentos Realizado]]-(Tabela13[[#This Row],[Aporte Realizado]])))</f>
        <v/>
      </c>
      <c r="H121" s="16"/>
      <c r="I121" s="17"/>
      <c r="J121" s="17"/>
      <c r="K121" s="17"/>
      <c r="L12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1" s="17">
        <v>18000</v>
      </c>
      <c r="N121" s="17">
        <v>15200</v>
      </c>
      <c r="O121" s="8">
        <f>Tabela13[[#This Row],[Receita Previsto]]-Tabela13[[#This Row],[Despesa Previsto]]</f>
        <v>2800</v>
      </c>
      <c r="P121" s="8">
        <f>Tabela13[[#This Row],[Receita Previsto]]-Tabela13[[#This Row],[Despesa Previsto]]</f>
        <v>2800</v>
      </c>
      <c r="Q121" s="1">
        <f t="shared" si="9"/>
        <v>8240.8848110332365</v>
      </c>
      <c r="R121" s="5">
        <v>8.8999999999999999E-3</v>
      </c>
      <c r="S121" s="7">
        <f>S120+Q121+Tabela13[[#This Row],[Geração Caixa Previsto]]+Tabela13[[#This Row],[Aporte Previsto]]</f>
        <v>939782.99841027334</v>
      </c>
      <c r="T121" s="15">
        <f t="shared" si="6"/>
        <v>106942.2929420235</v>
      </c>
      <c r="U121" s="15">
        <f t="shared" si="8"/>
        <v>236228.80670454385</v>
      </c>
      <c r="V121" s="15">
        <f t="shared" si="7"/>
        <v>30412.819562418725</v>
      </c>
      <c r="W121" s="1">
        <f>Tabela13[[#This Row],[Apto Previsto]]+Tabela13[[#This Row],[Carro Previsto]]</f>
        <v>266641.62626696256</v>
      </c>
      <c r="X121" s="1">
        <f>Tabela13[[#This Row],[ Investimento Previsto]]-Tabela13[[#This Row],[Dívidas Previsto]]+Tabela13[[#This Row],[Outros Patrimônios]]</f>
        <v>1099482.3317352124</v>
      </c>
    </row>
    <row r="122" spans="1:24" x14ac:dyDescent="0.3">
      <c r="A122" s="6">
        <v>48580</v>
      </c>
      <c r="B122" s="21"/>
      <c r="C122" s="20"/>
      <c r="D122" s="1" t="str">
        <f>IF(Tabela13[[#This Row],[Despesa Realizado]]="","",Tabela13[[#This Row],[Receita Realizado]]-Tabela13[[#This Row],[Despesa Realizado]])</f>
        <v/>
      </c>
      <c r="E122" s="15"/>
      <c r="F122" s="7">
        <f>IF(Tabela13[[#This Row],[Aporte Realizado]]="",0,Tabela13[[#This Row],[Investimentos Realizado]]-I121-Tabela13[[#This Row],[Aporte Realizado]])</f>
        <v>0</v>
      </c>
      <c r="G122" s="5" t="str">
        <f>IF(Tabela13[[#This Row],[Aporte Realizado]]="","",Tabela13[[#This Row],[Rendimento Realizado R$]]/(Tabela13[[#This Row],[Investimentos Realizado]]-(Tabela13[[#This Row],[Aporte Realizado]])))</f>
        <v/>
      </c>
      <c r="H122" s="16"/>
      <c r="I122" s="17"/>
      <c r="J122" s="17"/>
      <c r="K122" s="17"/>
      <c r="L12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2" s="17">
        <v>18000</v>
      </c>
      <c r="N122" s="17">
        <v>15200</v>
      </c>
      <c r="O122" s="8">
        <f>Tabela13[[#This Row],[Receita Previsto]]-Tabela13[[#This Row],[Despesa Previsto]]</f>
        <v>2800</v>
      </c>
      <c r="P122" s="8">
        <f>Tabela13[[#This Row],[Receita Previsto]]-Tabela13[[#This Row],[Despesa Previsto]]</f>
        <v>2800</v>
      </c>
      <c r="Q122" s="1">
        <f t="shared" ref="Q122:Q145" si="10">S121*R122</f>
        <v>8364.0686858514327</v>
      </c>
      <c r="R122" s="5">
        <v>8.8999999999999999E-3</v>
      </c>
      <c r="S122" s="7">
        <f>S121+Q122+Tabela13[[#This Row],[Geração Caixa Previsto]]+Tabela13[[#This Row],[Aporte Previsto]]</f>
        <v>953747.06709612475</v>
      </c>
      <c r="T122" s="15">
        <f t="shared" si="6"/>
        <v>106696.32566825685</v>
      </c>
      <c r="U122" s="15">
        <f t="shared" si="8"/>
        <v>236559.52703393024</v>
      </c>
      <c r="V122" s="15">
        <f t="shared" si="7"/>
        <v>30342.870077425163</v>
      </c>
      <c r="W122" s="1">
        <f>Tabela13[[#This Row],[Apto Previsto]]+Tabela13[[#This Row],[Carro Previsto]]</f>
        <v>266902.39711135539</v>
      </c>
      <c r="X122" s="1">
        <f>Tabela13[[#This Row],[ Investimento Previsto]]-Tabela13[[#This Row],[Dívidas Previsto]]+Tabela13[[#This Row],[Outros Patrimônios]]</f>
        <v>1113953.1385392232</v>
      </c>
    </row>
    <row r="123" spans="1:24" x14ac:dyDescent="0.3">
      <c r="A123" s="6">
        <v>48611</v>
      </c>
      <c r="B123" s="21"/>
      <c r="C123" s="20"/>
      <c r="D123" s="1" t="str">
        <f>IF(Tabela13[[#This Row],[Despesa Realizado]]="","",Tabela13[[#This Row],[Receita Realizado]]-Tabela13[[#This Row],[Despesa Realizado]])</f>
        <v/>
      </c>
      <c r="E123" s="15"/>
      <c r="F123" s="7">
        <f>IF(Tabela13[[#This Row],[Aporte Realizado]]="",0,Tabela13[[#This Row],[Investimentos Realizado]]-I122-Tabela13[[#This Row],[Aporte Realizado]])</f>
        <v>0</v>
      </c>
      <c r="G123" s="5" t="str">
        <f>IF(Tabela13[[#This Row],[Aporte Realizado]]="","",Tabela13[[#This Row],[Rendimento Realizado R$]]/(Tabela13[[#This Row],[Investimentos Realizado]]-(Tabela13[[#This Row],[Aporte Realizado]])))</f>
        <v/>
      </c>
      <c r="H123" s="16"/>
      <c r="I123" s="17"/>
      <c r="J123" s="17"/>
      <c r="K123" s="17"/>
      <c r="L12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3" s="17">
        <v>18000</v>
      </c>
      <c r="N123" s="17">
        <v>15200</v>
      </c>
      <c r="O123" s="8">
        <f>Tabela13[[#This Row],[Receita Previsto]]-Tabela13[[#This Row],[Despesa Previsto]]</f>
        <v>2800</v>
      </c>
      <c r="P123" s="8">
        <f>Tabela13[[#This Row],[Receita Previsto]]-Tabela13[[#This Row],[Despesa Previsto]]</f>
        <v>2800</v>
      </c>
      <c r="Q123" s="1">
        <f t="shared" si="10"/>
        <v>8488.3488971555107</v>
      </c>
      <c r="R123" s="5">
        <v>8.8999999999999999E-3</v>
      </c>
      <c r="S123" s="7">
        <f>S122+Q123+Tabela13[[#This Row],[Geração Caixa Previsto]]+Tabela13[[#This Row],[Aporte Previsto]]</f>
        <v>967835.41599328024</v>
      </c>
      <c r="T123" s="15">
        <f t="shared" si="6"/>
        <v>106450.92411921985</v>
      </c>
      <c r="U123" s="15">
        <f t="shared" si="8"/>
        <v>236890.71037177776</v>
      </c>
      <c r="V123" s="15">
        <f t="shared" si="7"/>
        <v>30273.081476247087</v>
      </c>
      <c r="W123" s="1">
        <f>Tabela13[[#This Row],[Apto Previsto]]+Tabela13[[#This Row],[Carro Previsto]]</f>
        <v>267163.79184802488</v>
      </c>
      <c r="X123" s="1">
        <f>Tabela13[[#This Row],[ Investimento Previsto]]-Tabela13[[#This Row],[Dívidas Previsto]]+Tabela13[[#This Row],[Outros Patrimônios]]</f>
        <v>1128548.2837220852</v>
      </c>
    </row>
    <row r="124" spans="1:24" x14ac:dyDescent="0.3">
      <c r="A124" s="6">
        <v>48639</v>
      </c>
      <c r="B124" s="21"/>
      <c r="C124" s="20"/>
      <c r="D124" s="1" t="str">
        <f>IF(Tabela13[[#This Row],[Despesa Realizado]]="","",Tabela13[[#This Row],[Receita Realizado]]-Tabela13[[#This Row],[Despesa Realizado]])</f>
        <v/>
      </c>
      <c r="E124" s="15"/>
      <c r="F124" s="7">
        <f>IF(Tabela13[[#This Row],[Aporte Realizado]]="",0,Tabela13[[#This Row],[Investimentos Realizado]]-I123-Tabela13[[#This Row],[Aporte Realizado]])</f>
        <v>0</v>
      </c>
      <c r="G124" s="5" t="str">
        <f>IF(Tabela13[[#This Row],[Aporte Realizado]]="","",Tabela13[[#This Row],[Rendimento Realizado R$]]/(Tabela13[[#This Row],[Investimentos Realizado]]-(Tabela13[[#This Row],[Aporte Realizado]])))</f>
        <v/>
      </c>
      <c r="H124" s="16"/>
      <c r="I124" s="17"/>
      <c r="J124" s="17"/>
      <c r="K124" s="17"/>
      <c r="L12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4" s="17">
        <v>18000</v>
      </c>
      <c r="N124" s="17">
        <v>15200</v>
      </c>
      <c r="O124" s="8">
        <f>Tabela13[[#This Row],[Receita Previsto]]-Tabela13[[#This Row],[Despesa Previsto]]</f>
        <v>2800</v>
      </c>
      <c r="P124" s="8">
        <f>Tabela13[[#This Row],[Receita Previsto]]-Tabela13[[#This Row],[Despesa Previsto]]</f>
        <v>2800</v>
      </c>
      <c r="Q124" s="1">
        <f t="shared" si="10"/>
        <v>8613.7352023401945</v>
      </c>
      <c r="R124" s="5">
        <v>8.8999999999999999E-3</v>
      </c>
      <c r="S124" s="7">
        <f>S123+Q124+Tabela13[[#This Row],[Geração Caixa Previsto]]+Tabela13[[#This Row],[Aporte Previsto]]</f>
        <v>982049.15119562042</v>
      </c>
      <c r="T124" s="15">
        <f t="shared" si="6"/>
        <v>106206.08699374564</v>
      </c>
      <c r="U124" s="15">
        <f t="shared" si="8"/>
        <v>237222.35736629827</v>
      </c>
      <c r="V124" s="15">
        <f t="shared" si="7"/>
        <v>30203.453388851722</v>
      </c>
      <c r="W124" s="1">
        <f>Tabela13[[#This Row],[Apto Previsto]]+Tabela13[[#This Row],[Carro Previsto]]</f>
        <v>267425.81075514999</v>
      </c>
      <c r="X124" s="1">
        <f>Tabela13[[#This Row],[ Investimento Previsto]]-Tabela13[[#This Row],[Dívidas Previsto]]+Tabela13[[#This Row],[Outros Patrimônios]]</f>
        <v>1143268.8749570248</v>
      </c>
    </row>
    <row r="125" spans="1:24" x14ac:dyDescent="0.3">
      <c r="A125" s="6">
        <v>48670</v>
      </c>
      <c r="B125" s="21"/>
      <c r="C125" s="20"/>
      <c r="D125" s="1" t="str">
        <f>IF(Tabela13[[#This Row],[Despesa Realizado]]="","",Tabela13[[#This Row],[Receita Realizado]]-Tabela13[[#This Row],[Despesa Realizado]])</f>
        <v/>
      </c>
      <c r="E125" s="15"/>
      <c r="F125" s="7">
        <f>IF(Tabela13[[#This Row],[Aporte Realizado]]="",0,Tabela13[[#This Row],[Investimentos Realizado]]-I124-Tabela13[[#This Row],[Aporte Realizado]])</f>
        <v>0</v>
      </c>
      <c r="G125" s="5" t="str">
        <f>IF(Tabela13[[#This Row],[Aporte Realizado]]="","",Tabela13[[#This Row],[Rendimento Realizado R$]]/(Tabela13[[#This Row],[Investimentos Realizado]]-(Tabela13[[#This Row],[Aporte Realizado]])))</f>
        <v/>
      </c>
      <c r="H125" s="16"/>
      <c r="I125" s="17"/>
      <c r="J125" s="17"/>
      <c r="K125" s="17"/>
      <c r="L12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5" s="17">
        <v>18000</v>
      </c>
      <c r="N125" s="17">
        <v>15200</v>
      </c>
      <c r="O125" s="8">
        <f>Tabela13[[#This Row],[Receita Previsto]]-Tabela13[[#This Row],[Despesa Previsto]]</f>
        <v>2800</v>
      </c>
      <c r="P125" s="8">
        <f>Tabela13[[#This Row],[Receita Previsto]]-Tabela13[[#This Row],[Despesa Previsto]]</f>
        <v>2800</v>
      </c>
      <c r="Q125" s="1">
        <f t="shared" si="10"/>
        <v>8740.2374456410216</v>
      </c>
      <c r="R125" s="5">
        <v>8.8999999999999999E-3</v>
      </c>
      <c r="S125" s="7">
        <f>S124+Q125+Tabela13[[#This Row],[Geração Caixa Previsto]]+Tabela13[[#This Row],[Aporte Previsto]]</f>
        <v>996389.3886412615</v>
      </c>
      <c r="T125" s="15">
        <f t="shared" si="6"/>
        <v>105961.81299366003</v>
      </c>
      <c r="U125" s="15">
        <f t="shared" si="8"/>
        <v>237554.46866661109</v>
      </c>
      <c r="V125" s="15">
        <f t="shared" si="7"/>
        <v>30133.985446057362</v>
      </c>
      <c r="W125" s="1">
        <f>Tabela13[[#This Row],[Apto Previsto]]+Tabela13[[#This Row],[Carro Previsto]]</f>
        <v>267688.45411266846</v>
      </c>
      <c r="X125" s="1">
        <f>Tabela13[[#This Row],[ Investimento Previsto]]-Tabela13[[#This Row],[Dívidas Previsto]]+Tabela13[[#This Row],[Outros Patrimônios]]</f>
        <v>1158116.0297602699</v>
      </c>
    </row>
    <row r="126" spans="1:24" x14ac:dyDescent="0.3">
      <c r="A126" s="6">
        <v>48700</v>
      </c>
      <c r="B126" s="21"/>
      <c r="C126" s="20"/>
      <c r="D126" s="1" t="str">
        <f>IF(Tabela13[[#This Row],[Despesa Realizado]]="","",Tabela13[[#This Row],[Receita Realizado]]-Tabela13[[#This Row],[Despesa Realizado]])</f>
        <v/>
      </c>
      <c r="E126" s="15"/>
      <c r="F126" s="7">
        <f>IF(Tabela13[[#This Row],[Aporte Realizado]]="",0,Tabela13[[#This Row],[Investimentos Realizado]]-I125-Tabela13[[#This Row],[Aporte Realizado]])</f>
        <v>0</v>
      </c>
      <c r="G126" s="5" t="str">
        <f>IF(Tabela13[[#This Row],[Aporte Realizado]]="","",Tabela13[[#This Row],[Rendimento Realizado R$]]/(Tabela13[[#This Row],[Investimentos Realizado]]-(Tabela13[[#This Row],[Aporte Realizado]])))</f>
        <v/>
      </c>
      <c r="H126" s="16"/>
      <c r="I126" s="17"/>
      <c r="J126" s="17"/>
      <c r="K126" s="17"/>
      <c r="L12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6" s="17">
        <v>18000</v>
      </c>
      <c r="N126" s="17">
        <v>15200</v>
      </c>
      <c r="O126" s="8">
        <f>Tabela13[[#This Row],[Receita Previsto]]-Tabela13[[#This Row],[Despesa Previsto]]</f>
        <v>2800</v>
      </c>
      <c r="P126" s="8">
        <f>Tabela13[[#This Row],[Receita Previsto]]-Tabela13[[#This Row],[Despesa Previsto]]</f>
        <v>2800</v>
      </c>
      <c r="Q126" s="1">
        <f t="shared" si="10"/>
        <v>8867.8655589072278</v>
      </c>
      <c r="R126" s="5">
        <v>8.8999999999999999E-3</v>
      </c>
      <c r="S126" s="7">
        <f>S125+Q126+Tabela13[[#This Row],[Geração Caixa Previsto]]+Tabela13[[#This Row],[Aporte Previsto]]</f>
        <v>1010857.2542001688</v>
      </c>
      <c r="T126" s="15">
        <f t="shared" si="6"/>
        <v>105718.10082377461</v>
      </c>
      <c r="U126" s="15">
        <f t="shared" si="8"/>
        <v>237887.04492274436</v>
      </c>
      <c r="V126" s="15">
        <f t="shared" si="7"/>
        <v>30064.677279531432</v>
      </c>
      <c r="W126" s="1">
        <f>Tabela13[[#This Row],[Apto Previsto]]+Tabela13[[#This Row],[Carro Previsto]]</f>
        <v>267951.72220227576</v>
      </c>
      <c r="X126" s="1">
        <f>Tabela13[[#This Row],[ Investimento Previsto]]-Tabela13[[#This Row],[Dívidas Previsto]]+Tabela13[[#This Row],[Outros Patrimônios]]</f>
        <v>1173090.8755786698</v>
      </c>
    </row>
    <row r="127" spans="1:24" x14ac:dyDescent="0.3">
      <c r="A127" s="6">
        <v>48731</v>
      </c>
      <c r="B127" s="21"/>
      <c r="C127" s="20"/>
      <c r="D127" s="1" t="str">
        <f>IF(Tabela13[[#This Row],[Despesa Realizado]]="","",Tabela13[[#This Row],[Receita Realizado]]-Tabela13[[#This Row],[Despesa Realizado]])</f>
        <v/>
      </c>
      <c r="E127" s="15"/>
      <c r="F127" s="7">
        <f>IF(Tabela13[[#This Row],[Aporte Realizado]]="",0,Tabela13[[#This Row],[Investimentos Realizado]]-I126-Tabela13[[#This Row],[Aporte Realizado]])</f>
        <v>0</v>
      </c>
      <c r="G127" s="5" t="str">
        <f>IF(Tabela13[[#This Row],[Aporte Realizado]]="","",Tabela13[[#This Row],[Rendimento Realizado R$]]/(Tabela13[[#This Row],[Investimentos Realizado]]-(Tabela13[[#This Row],[Aporte Realizado]])))</f>
        <v/>
      </c>
      <c r="H127" s="16"/>
      <c r="I127" s="17"/>
      <c r="J127" s="17"/>
      <c r="K127" s="17"/>
      <c r="L12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7" s="17">
        <v>18000</v>
      </c>
      <c r="N127" s="17">
        <v>15200</v>
      </c>
      <c r="O127" s="8">
        <f>Tabela13[[#This Row],[Receita Previsto]]-Tabela13[[#This Row],[Despesa Previsto]]</f>
        <v>2800</v>
      </c>
      <c r="P127" s="8">
        <f>Tabela13[[#This Row],[Receita Previsto]]-Tabela13[[#This Row],[Despesa Previsto]]</f>
        <v>2800</v>
      </c>
      <c r="Q127" s="1">
        <f t="shared" si="10"/>
        <v>8996.6295623815022</v>
      </c>
      <c r="R127" s="5">
        <v>8.8999999999999999E-3</v>
      </c>
      <c r="S127" s="7">
        <f>S126+Q127+Tabela13[[#This Row],[Geração Caixa Previsto]]+Tabela13[[#This Row],[Aporte Previsto]]</f>
        <v>1025453.8837625503</v>
      </c>
      <c r="T127" s="15">
        <f t="shared" si="6"/>
        <v>105474.94919187993</v>
      </c>
      <c r="U127" s="15">
        <f t="shared" si="8"/>
        <v>238220.08678563623</v>
      </c>
      <c r="V127" s="15">
        <f t="shared" si="7"/>
        <v>29995.52852178851</v>
      </c>
      <c r="W127" s="1">
        <f>Tabela13[[#This Row],[Apto Previsto]]+Tabela13[[#This Row],[Carro Previsto]]</f>
        <v>268215.61530742474</v>
      </c>
      <c r="X127" s="1">
        <f>Tabela13[[#This Row],[ Investimento Previsto]]-Tabela13[[#This Row],[Dívidas Previsto]]+Tabela13[[#This Row],[Outros Patrimônios]]</f>
        <v>1188194.549878095</v>
      </c>
    </row>
    <row r="128" spans="1:24" x14ac:dyDescent="0.3">
      <c r="A128" s="6">
        <v>48761</v>
      </c>
      <c r="B128" s="21"/>
      <c r="C128" s="20"/>
      <c r="D128" s="1" t="str">
        <f>IF(Tabela13[[#This Row],[Despesa Realizado]]="","",Tabela13[[#This Row],[Receita Realizado]]-Tabela13[[#This Row],[Despesa Realizado]])</f>
        <v/>
      </c>
      <c r="E128" s="15"/>
      <c r="F128" s="7">
        <f>IF(Tabela13[[#This Row],[Aporte Realizado]]="",0,Tabela13[[#This Row],[Investimentos Realizado]]-I127-Tabela13[[#This Row],[Aporte Realizado]])</f>
        <v>0</v>
      </c>
      <c r="G128" s="5" t="str">
        <f>IF(Tabela13[[#This Row],[Aporte Realizado]]="","",Tabela13[[#This Row],[Rendimento Realizado R$]]/(Tabela13[[#This Row],[Investimentos Realizado]]-(Tabela13[[#This Row],[Aporte Realizado]])))</f>
        <v/>
      </c>
      <c r="H128" s="16"/>
      <c r="I128" s="17"/>
      <c r="J128" s="17"/>
      <c r="K128" s="17"/>
      <c r="L12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8" s="17">
        <v>18000</v>
      </c>
      <c r="N128" s="17">
        <v>15200</v>
      </c>
      <c r="O128" s="8">
        <f>Tabela13[[#This Row],[Receita Previsto]]-Tabela13[[#This Row],[Despesa Previsto]]</f>
        <v>2800</v>
      </c>
      <c r="P128" s="8">
        <f>Tabela13[[#This Row],[Receita Previsto]]-Tabela13[[#This Row],[Despesa Previsto]]</f>
        <v>2800</v>
      </c>
      <c r="Q128" s="1">
        <f t="shared" si="10"/>
        <v>9126.539565486697</v>
      </c>
      <c r="R128" s="5">
        <v>8.8999999999999999E-3</v>
      </c>
      <c r="S128" s="7">
        <f>S127+Q128+Tabela13[[#This Row],[Geração Caixa Previsto]]+Tabela13[[#This Row],[Aporte Previsto]]</f>
        <v>1040180.423328037</v>
      </c>
      <c r="T128" s="15">
        <f t="shared" si="6"/>
        <v>105232.35680873861</v>
      </c>
      <c r="U128" s="15">
        <f t="shared" si="8"/>
        <v>238553.59490713614</v>
      </c>
      <c r="V128" s="15">
        <f t="shared" si="7"/>
        <v>29926.538806188397</v>
      </c>
      <c r="W128" s="1">
        <f>Tabela13[[#This Row],[Apto Previsto]]+Tabela13[[#This Row],[Carro Previsto]]</f>
        <v>268480.13371332455</v>
      </c>
      <c r="X128" s="1">
        <f>Tabela13[[#This Row],[ Investimento Previsto]]-Tabela13[[#This Row],[Dívidas Previsto]]+Tabela13[[#This Row],[Outros Patrimônios]]</f>
        <v>1203428.2002326229</v>
      </c>
    </row>
    <row r="129" spans="1:24" x14ac:dyDescent="0.3">
      <c r="A129" s="6">
        <v>48792</v>
      </c>
      <c r="B129" s="21"/>
      <c r="C129" s="20"/>
      <c r="D129" s="1" t="str">
        <f>IF(Tabela13[[#This Row],[Despesa Realizado]]="","",Tabela13[[#This Row],[Receita Realizado]]-Tabela13[[#This Row],[Despesa Realizado]])</f>
        <v/>
      </c>
      <c r="E129" s="15"/>
      <c r="F129" s="7">
        <f>IF(Tabela13[[#This Row],[Aporte Realizado]]="",0,Tabela13[[#This Row],[Investimentos Realizado]]-I128-Tabela13[[#This Row],[Aporte Realizado]])</f>
        <v>0</v>
      </c>
      <c r="G129" s="5" t="str">
        <f>IF(Tabela13[[#This Row],[Aporte Realizado]]="","",Tabela13[[#This Row],[Rendimento Realizado R$]]/(Tabela13[[#This Row],[Investimentos Realizado]]-(Tabela13[[#This Row],[Aporte Realizado]])))</f>
        <v/>
      </c>
      <c r="H129" s="16"/>
      <c r="I129" s="17"/>
      <c r="J129" s="17"/>
      <c r="K129" s="17"/>
      <c r="L12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29" s="17">
        <v>18000</v>
      </c>
      <c r="N129" s="17">
        <v>15200</v>
      </c>
      <c r="O129" s="8">
        <f>Tabela13[[#This Row],[Receita Previsto]]-Tabela13[[#This Row],[Despesa Previsto]]</f>
        <v>2800</v>
      </c>
      <c r="P129" s="8">
        <f>Tabela13[[#This Row],[Receita Previsto]]-Tabela13[[#This Row],[Despesa Previsto]]</f>
        <v>2800</v>
      </c>
      <c r="Q129" s="1">
        <f t="shared" si="10"/>
        <v>9257.6057676195287</v>
      </c>
      <c r="R129" s="5">
        <v>8.8999999999999999E-3</v>
      </c>
      <c r="S129" s="7">
        <f>S128+Q129+Tabela13[[#This Row],[Geração Caixa Previsto]]+Tabela13[[#This Row],[Aporte Previsto]]</f>
        <v>1055038.0290956565</v>
      </c>
      <c r="T129" s="15">
        <f t="shared" si="6"/>
        <v>104990.32238807851</v>
      </c>
      <c r="U129" s="15">
        <f t="shared" si="8"/>
        <v>238887.56994000616</v>
      </c>
      <c r="V129" s="15">
        <f t="shared" si="7"/>
        <v>29857.707766934163</v>
      </c>
      <c r="W129" s="1">
        <f>Tabela13[[#This Row],[Apto Previsto]]+Tabela13[[#This Row],[Carro Previsto]]</f>
        <v>268745.27770694031</v>
      </c>
      <c r="X129" s="1">
        <f>Tabela13[[#This Row],[ Investimento Previsto]]-Tabela13[[#This Row],[Dívidas Previsto]]+Tabela13[[#This Row],[Outros Patrimônios]]</f>
        <v>1218792.9844145183</v>
      </c>
    </row>
    <row r="130" spans="1:24" x14ac:dyDescent="0.3">
      <c r="A130" s="6">
        <v>48823</v>
      </c>
      <c r="B130" s="21"/>
      <c r="C130" s="20"/>
      <c r="D130" s="1" t="str">
        <f>IF(Tabela13[[#This Row],[Despesa Realizado]]="","",Tabela13[[#This Row],[Receita Realizado]]-Tabela13[[#This Row],[Despesa Realizado]])</f>
        <v/>
      </c>
      <c r="E130" s="15"/>
      <c r="F130" s="7">
        <f>IF(Tabela13[[#This Row],[Aporte Realizado]]="",0,Tabela13[[#This Row],[Investimentos Realizado]]-I129-Tabela13[[#This Row],[Aporte Realizado]])</f>
        <v>0</v>
      </c>
      <c r="G130" s="5" t="str">
        <f>IF(Tabela13[[#This Row],[Aporte Realizado]]="","",Tabela13[[#This Row],[Rendimento Realizado R$]]/(Tabela13[[#This Row],[Investimentos Realizado]]-(Tabela13[[#This Row],[Aporte Realizado]])))</f>
        <v/>
      </c>
      <c r="H130" s="16"/>
      <c r="I130" s="17"/>
      <c r="J130" s="17"/>
      <c r="K130" s="17"/>
      <c r="L13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0" s="17">
        <v>18000</v>
      </c>
      <c r="N130" s="17">
        <v>15200</v>
      </c>
      <c r="O130" s="8">
        <f>Tabela13[[#This Row],[Receita Previsto]]-Tabela13[[#This Row],[Despesa Previsto]]</f>
        <v>2800</v>
      </c>
      <c r="P130" s="8">
        <f>Tabela13[[#This Row],[Receita Previsto]]-Tabela13[[#This Row],[Despesa Previsto]]</f>
        <v>2800</v>
      </c>
      <c r="Q130" s="1">
        <f t="shared" si="10"/>
        <v>9389.8384589513425</v>
      </c>
      <c r="R130" s="5">
        <v>8.8999999999999999E-3</v>
      </c>
      <c r="S130" s="7">
        <f>S129+Q130+Tabela13[[#This Row],[Geração Caixa Previsto]]+Tabela13[[#This Row],[Aporte Previsto]]</f>
        <v>1070027.8675546078</v>
      </c>
      <c r="T130" s="15">
        <f t="shared" si="6"/>
        <v>104748.84464658593</v>
      </c>
      <c r="U130" s="15">
        <f t="shared" si="8"/>
        <v>239222.01253792219</v>
      </c>
      <c r="V130" s="15">
        <f t="shared" si="7"/>
        <v>29789.035039070215</v>
      </c>
      <c r="W130" s="1">
        <f>Tabela13[[#This Row],[Apto Previsto]]+Tabela13[[#This Row],[Carro Previsto]]</f>
        <v>269011.04757699242</v>
      </c>
      <c r="X130" s="1">
        <f>Tabela13[[#This Row],[ Investimento Previsto]]-Tabela13[[#This Row],[Dívidas Previsto]]+Tabela13[[#This Row],[Outros Patrimônios]]</f>
        <v>1234290.0704850145</v>
      </c>
    </row>
    <row r="131" spans="1:24" x14ac:dyDescent="0.3">
      <c r="A131" s="6">
        <v>48853</v>
      </c>
      <c r="B131" s="21"/>
      <c r="C131" s="20"/>
      <c r="D131" s="1" t="str">
        <f>IF(Tabela13[[#This Row],[Despesa Realizado]]="","",Tabela13[[#This Row],[Receita Realizado]]-Tabela13[[#This Row],[Despesa Realizado]])</f>
        <v/>
      </c>
      <c r="E131" s="15"/>
      <c r="F131" s="7">
        <f>IF(Tabela13[[#This Row],[Aporte Realizado]]="",0,Tabela13[[#This Row],[Investimentos Realizado]]-I130-Tabela13[[#This Row],[Aporte Realizado]])</f>
        <v>0</v>
      </c>
      <c r="G131" s="5" t="str">
        <f>IF(Tabela13[[#This Row],[Aporte Realizado]]="","",Tabela13[[#This Row],[Rendimento Realizado R$]]/(Tabela13[[#This Row],[Investimentos Realizado]]-(Tabela13[[#This Row],[Aporte Realizado]])))</f>
        <v/>
      </c>
      <c r="H131" s="16"/>
      <c r="I131" s="17"/>
      <c r="J131" s="17"/>
      <c r="K131" s="17"/>
      <c r="L13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1" s="17">
        <v>18000</v>
      </c>
      <c r="N131" s="17">
        <v>15200</v>
      </c>
      <c r="O131" s="8">
        <f>Tabela13[[#This Row],[Receita Previsto]]-Tabela13[[#This Row],[Despesa Previsto]]</f>
        <v>2800</v>
      </c>
      <c r="P131" s="8">
        <f>Tabela13[[#This Row],[Receita Previsto]]-Tabela13[[#This Row],[Despesa Previsto]]</f>
        <v>2800</v>
      </c>
      <c r="Q131" s="1">
        <f t="shared" si="10"/>
        <v>9523.2480212360097</v>
      </c>
      <c r="R131" s="5">
        <v>8.8999999999999999E-3</v>
      </c>
      <c r="S131" s="7">
        <f>S130+Q131+Tabela13[[#This Row],[Geração Caixa Previsto]]+Tabela13[[#This Row],[Aporte Previsto]]</f>
        <v>1085151.1155758437</v>
      </c>
      <c r="T131" s="15">
        <f t="shared" si="6"/>
        <v>104507.92230389878</v>
      </c>
      <c r="U131" s="15">
        <f t="shared" si="8"/>
        <v>239556.9233554753</v>
      </c>
      <c r="V131" s="15">
        <f t="shared" si="7"/>
        <v>29720.520258480356</v>
      </c>
      <c r="W131" s="1">
        <f>Tabela13[[#This Row],[Apto Previsto]]+Tabela13[[#This Row],[Carro Previsto]]</f>
        <v>269277.44361395563</v>
      </c>
      <c r="X131" s="1">
        <f>Tabela13[[#This Row],[ Investimento Previsto]]-Tabela13[[#This Row],[Dívidas Previsto]]+Tabela13[[#This Row],[Outros Patrimônios]]</f>
        <v>1249920.6368859005</v>
      </c>
    </row>
    <row r="132" spans="1:24" x14ac:dyDescent="0.3">
      <c r="A132" s="6">
        <v>48884</v>
      </c>
      <c r="B132" s="21"/>
      <c r="C132" s="20"/>
      <c r="D132" s="1" t="str">
        <f>IF(Tabela13[[#This Row],[Despesa Realizado]]="","",Tabela13[[#This Row],[Receita Realizado]]-Tabela13[[#This Row],[Despesa Realizado]])</f>
        <v/>
      </c>
      <c r="E132" s="15"/>
      <c r="F132" s="7">
        <f>IF(Tabela13[[#This Row],[Aporte Realizado]]="",0,Tabela13[[#This Row],[Investimentos Realizado]]-I131-Tabela13[[#This Row],[Aporte Realizado]])</f>
        <v>0</v>
      </c>
      <c r="G132" s="5" t="str">
        <f>IF(Tabela13[[#This Row],[Aporte Realizado]]="","",Tabela13[[#This Row],[Rendimento Realizado R$]]/(Tabela13[[#This Row],[Investimentos Realizado]]-(Tabela13[[#This Row],[Aporte Realizado]])))</f>
        <v/>
      </c>
      <c r="H132" s="16"/>
      <c r="I132" s="17"/>
      <c r="J132" s="17"/>
      <c r="K132" s="17"/>
      <c r="L13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2" s="17">
        <v>18000</v>
      </c>
      <c r="N132" s="17">
        <v>15200</v>
      </c>
      <c r="O132" s="8">
        <f>Tabela13[[#This Row],[Receita Previsto]]-Tabela13[[#This Row],[Despesa Previsto]]</f>
        <v>2800</v>
      </c>
      <c r="P132" s="8">
        <f>Tabela13[[#This Row],[Receita Previsto]]-Tabela13[[#This Row],[Despesa Previsto]]</f>
        <v>2800</v>
      </c>
      <c r="Q132" s="1">
        <f t="shared" si="10"/>
        <v>9657.8449286250088</v>
      </c>
      <c r="R132" s="5">
        <v>8.8999999999999999E-3</v>
      </c>
      <c r="S132" s="7">
        <f>S131+Q132+Tabela13[[#This Row],[Geração Caixa Previsto]]+Tabela13[[#This Row],[Aporte Previsto]]</f>
        <v>1100408.9605044688</v>
      </c>
      <c r="T132" s="15">
        <f t="shared" ref="T132:T145" si="11">T131*0.9977</f>
        <v>104267.55408259982</v>
      </c>
      <c r="U132" s="15">
        <f t="shared" si="8"/>
        <v>239892.30304817299</v>
      </c>
      <c r="V132" s="15">
        <f t="shared" ref="V132:V145" si="12">V131*0.9977</f>
        <v>29652.163061885851</v>
      </c>
      <c r="W132" s="1">
        <f>Tabela13[[#This Row],[Apto Previsto]]+Tabela13[[#This Row],[Carro Previsto]]</f>
        <v>269544.46611005883</v>
      </c>
      <c r="X132" s="1">
        <f>Tabela13[[#This Row],[ Investimento Previsto]]-Tabela13[[#This Row],[Dívidas Previsto]]+Tabela13[[#This Row],[Outros Patrimônios]]</f>
        <v>1265685.8725319277</v>
      </c>
    </row>
    <row r="133" spans="1:24" x14ac:dyDescent="0.3">
      <c r="A133" s="6">
        <v>48914</v>
      </c>
      <c r="B133" s="21"/>
      <c r="C133" s="20"/>
      <c r="D133" s="1" t="str">
        <f>IF(Tabela13[[#This Row],[Despesa Realizado]]="","",Tabela13[[#This Row],[Receita Realizado]]-Tabela13[[#This Row],[Despesa Realizado]])</f>
        <v/>
      </c>
      <c r="E133" s="15"/>
      <c r="F133" s="7">
        <f>IF(Tabela13[[#This Row],[Aporte Realizado]]="",0,Tabela13[[#This Row],[Investimentos Realizado]]-I132-Tabela13[[#This Row],[Aporte Realizado]])</f>
        <v>0</v>
      </c>
      <c r="G133" s="5" t="str">
        <f>IF(Tabela13[[#This Row],[Aporte Realizado]]="","",Tabela13[[#This Row],[Rendimento Realizado R$]]/(Tabela13[[#This Row],[Investimentos Realizado]]-(Tabela13[[#This Row],[Aporte Realizado]])))</f>
        <v/>
      </c>
      <c r="H133" s="16"/>
      <c r="I133" s="17"/>
      <c r="J133" s="17"/>
      <c r="K133" s="17"/>
      <c r="L13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3" s="17">
        <v>18000</v>
      </c>
      <c r="N133" s="17">
        <v>15200</v>
      </c>
      <c r="O133" s="8">
        <f>Tabela13[[#This Row],[Receita Previsto]]-Tabela13[[#This Row],[Despesa Previsto]]</f>
        <v>2800</v>
      </c>
      <c r="P133" s="8">
        <f>Tabela13[[#This Row],[Receita Previsto]]-Tabela13[[#This Row],[Despesa Previsto]]</f>
        <v>2800</v>
      </c>
      <c r="Q133" s="1">
        <f t="shared" si="10"/>
        <v>9793.6397484897716</v>
      </c>
      <c r="R133" s="5">
        <v>8.8999999999999999E-3</v>
      </c>
      <c r="S133" s="7">
        <f>S132+Q133+Tabela13[[#This Row],[Geração Caixa Previsto]]+Tabela13[[#This Row],[Aporte Previsto]]</f>
        <v>1115802.6002529585</v>
      </c>
      <c r="T133" s="15">
        <f t="shared" si="11"/>
        <v>104027.73870820984</v>
      </c>
      <c r="U133" s="15">
        <f t="shared" ref="U133:U145" si="13">(U132*1.0014)</f>
        <v>240228.15227244046</v>
      </c>
      <c r="V133" s="15">
        <f t="shared" si="12"/>
        <v>29583.963086843512</v>
      </c>
      <c r="W133" s="1">
        <f>Tabela13[[#This Row],[Apto Previsto]]+Tabela13[[#This Row],[Carro Previsto]]</f>
        <v>269812.11535928398</v>
      </c>
      <c r="X133" s="1">
        <f>Tabela13[[#This Row],[ Investimento Previsto]]-Tabela13[[#This Row],[Dívidas Previsto]]+Tabela13[[#This Row],[Outros Patrimônios]]</f>
        <v>1281586.9769040328</v>
      </c>
    </row>
    <row r="134" spans="1:24" x14ac:dyDescent="0.3">
      <c r="A134" s="6">
        <v>48945</v>
      </c>
      <c r="B134" s="21"/>
      <c r="C134" s="20"/>
      <c r="D134" s="1" t="str">
        <f>IF(Tabela13[[#This Row],[Despesa Realizado]]="","",Tabela13[[#This Row],[Receita Realizado]]-Tabela13[[#This Row],[Despesa Realizado]])</f>
        <v/>
      </c>
      <c r="E134" s="15"/>
      <c r="F134" s="7">
        <f>IF(Tabela13[[#This Row],[Aporte Realizado]]="",0,Tabela13[[#This Row],[Investimentos Realizado]]-I133-Tabela13[[#This Row],[Aporte Realizado]])</f>
        <v>0</v>
      </c>
      <c r="G134" s="5" t="str">
        <f>IF(Tabela13[[#This Row],[Aporte Realizado]]="","",Tabela13[[#This Row],[Rendimento Realizado R$]]/(Tabela13[[#This Row],[Investimentos Realizado]]-(Tabela13[[#This Row],[Aporte Realizado]])))</f>
        <v/>
      </c>
      <c r="H134" s="16"/>
      <c r="I134" s="17"/>
      <c r="J134" s="17"/>
      <c r="K134" s="17"/>
      <c r="L13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4" s="17">
        <v>18000</v>
      </c>
      <c r="N134" s="17">
        <v>15200</v>
      </c>
      <c r="O134" s="8">
        <f>Tabela13[[#This Row],[Receita Previsto]]-Tabela13[[#This Row],[Despesa Previsto]]</f>
        <v>2800</v>
      </c>
      <c r="P134" s="8">
        <f>Tabela13[[#This Row],[Receita Previsto]]-Tabela13[[#This Row],[Despesa Previsto]]</f>
        <v>2800</v>
      </c>
      <c r="Q134" s="1">
        <f t="shared" si="10"/>
        <v>9930.6431422513306</v>
      </c>
      <c r="R134" s="5">
        <v>8.8999999999999999E-3</v>
      </c>
      <c r="S134" s="7">
        <f>S133+Q134+Tabela13[[#This Row],[Geração Caixa Previsto]]+Tabela13[[#This Row],[Aporte Previsto]]</f>
        <v>1131333.2433952098</v>
      </c>
      <c r="T134" s="15">
        <f t="shared" si="11"/>
        <v>103788.47490918096</v>
      </c>
      <c r="U134" s="15">
        <f t="shared" si="13"/>
        <v>240564.47168562189</v>
      </c>
      <c r="V134" s="15">
        <f t="shared" si="12"/>
        <v>29515.919971743773</v>
      </c>
      <c r="W134" s="1">
        <f>Tabela13[[#This Row],[Apto Previsto]]+Tabela13[[#This Row],[Carro Previsto]]</f>
        <v>270080.39165736566</v>
      </c>
      <c r="X134" s="1">
        <f>Tabela13[[#This Row],[ Investimento Previsto]]-Tabela13[[#This Row],[Dívidas Previsto]]+Tabela13[[#This Row],[Outros Patrimônios]]</f>
        <v>1297625.1601433945</v>
      </c>
    </row>
    <row r="135" spans="1:24" x14ac:dyDescent="0.3">
      <c r="A135" s="6">
        <v>48976</v>
      </c>
      <c r="B135" s="21"/>
      <c r="C135" s="20"/>
      <c r="D135" s="1" t="str">
        <f>IF(Tabela13[[#This Row],[Despesa Realizado]]="","",Tabela13[[#This Row],[Receita Realizado]]-Tabela13[[#This Row],[Despesa Realizado]])</f>
        <v/>
      </c>
      <c r="E135" s="15"/>
      <c r="F135" s="7">
        <f>IF(Tabela13[[#This Row],[Aporte Realizado]]="",0,Tabela13[[#This Row],[Investimentos Realizado]]-I134-Tabela13[[#This Row],[Aporte Realizado]])</f>
        <v>0</v>
      </c>
      <c r="G135" s="5" t="str">
        <f>IF(Tabela13[[#This Row],[Aporte Realizado]]="","",Tabela13[[#This Row],[Rendimento Realizado R$]]/(Tabela13[[#This Row],[Investimentos Realizado]]-(Tabela13[[#This Row],[Aporte Realizado]])))</f>
        <v/>
      </c>
      <c r="H135" s="16"/>
      <c r="I135" s="17"/>
      <c r="J135" s="17"/>
      <c r="K135" s="17"/>
      <c r="L13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5" s="17">
        <v>18000</v>
      </c>
      <c r="N135" s="17">
        <v>15200</v>
      </c>
      <c r="O135" s="8">
        <f>Tabela13[[#This Row],[Receita Previsto]]-Tabela13[[#This Row],[Despesa Previsto]]</f>
        <v>2800</v>
      </c>
      <c r="P135" s="8">
        <f>Tabela13[[#This Row],[Receita Previsto]]-Tabela13[[#This Row],[Despesa Previsto]]</f>
        <v>2800</v>
      </c>
      <c r="Q135" s="1">
        <f t="shared" si="10"/>
        <v>10068.865866217368</v>
      </c>
      <c r="R135" s="5">
        <v>8.8999999999999999E-3</v>
      </c>
      <c r="S135" s="7">
        <f>S134+Q135+Tabela13[[#This Row],[Geração Caixa Previsto]]+Tabela13[[#This Row],[Aporte Previsto]]</f>
        <v>1147002.1092614271</v>
      </c>
      <c r="T135" s="15">
        <f t="shared" si="11"/>
        <v>103549.76141688986</v>
      </c>
      <c r="U135" s="15">
        <f t="shared" si="13"/>
        <v>240901.26194598177</v>
      </c>
      <c r="V135" s="15">
        <f t="shared" si="12"/>
        <v>29448.033355808762</v>
      </c>
      <c r="W135" s="1">
        <f>Tabela13[[#This Row],[Apto Previsto]]+Tabela13[[#This Row],[Carro Previsto]]</f>
        <v>270349.29530179052</v>
      </c>
      <c r="X135" s="1">
        <f>Tabela13[[#This Row],[ Investimento Previsto]]-Tabela13[[#This Row],[Dívidas Previsto]]+Tabela13[[#This Row],[Outros Patrimônios]]</f>
        <v>1313801.6431463277</v>
      </c>
    </row>
    <row r="136" spans="1:24" x14ac:dyDescent="0.3">
      <c r="A136" s="6">
        <v>49004</v>
      </c>
      <c r="B136" s="21"/>
      <c r="C136" s="20"/>
      <c r="D136" s="1" t="str">
        <f>IF(Tabela13[[#This Row],[Despesa Realizado]]="","",Tabela13[[#This Row],[Receita Realizado]]-Tabela13[[#This Row],[Despesa Realizado]])</f>
        <v/>
      </c>
      <c r="E136" s="15"/>
      <c r="F136" s="7">
        <f>IF(Tabela13[[#This Row],[Aporte Realizado]]="",0,Tabela13[[#This Row],[Investimentos Realizado]]-I135-Tabela13[[#This Row],[Aporte Realizado]])</f>
        <v>0</v>
      </c>
      <c r="G136" s="5" t="str">
        <f>IF(Tabela13[[#This Row],[Aporte Realizado]]="","",Tabela13[[#This Row],[Rendimento Realizado R$]]/(Tabela13[[#This Row],[Investimentos Realizado]]-(Tabela13[[#This Row],[Aporte Realizado]])))</f>
        <v/>
      </c>
      <c r="H136" s="16"/>
      <c r="I136" s="17"/>
      <c r="J136" s="17"/>
      <c r="K136" s="17"/>
      <c r="L136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6" s="17">
        <v>18000</v>
      </c>
      <c r="N136" s="17">
        <v>15200</v>
      </c>
      <c r="O136" s="8">
        <f>Tabela13[[#This Row],[Receita Previsto]]-Tabela13[[#This Row],[Despesa Previsto]]</f>
        <v>2800</v>
      </c>
      <c r="P136" s="8">
        <f>Tabela13[[#This Row],[Receita Previsto]]-Tabela13[[#This Row],[Despesa Previsto]]</f>
        <v>2800</v>
      </c>
      <c r="Q136" s="1">
        <f t="shared" si="10"/>
        <v>10208.318772426701</v>
      </c>
      <c r="R136" s="5">
        <v>8.8999999999999999E-3</v>
      </c>
      <c r="S136" s="7">
        <f>S135+Q136+Tabela13[[#This Row],[Geração Caixa Previsto]]+Tabela13[[#This Row],[Aporte Previsto]]</f>
        <v>1162810.4280338539</v>
      </c>
      <c r="T136" s="15">
        <f t="shared" si="11"/>
        <v>103311.59696563102</v>
      </c>
      <c r="U136" s="15">
        <f t="shared" si="13"/>
        <v>241238.52371270617</v>
      </c>
      <c r="V136" s="15">
        <f t="shared" si="12"/>
        <v>29380.302879090403</v>
      </c>
      <c r="W136" s="1">
        <f>Tabela13[[#This Row],[Apto Previsto]]+Tabela13[[#This Row],[Carro Previsto]]</f>
        <v>270618.82659179659</v>
      </c>
      <c r="X136" s="1">
        <f>Tabela13[[#This Row],[ Investimento Previsto]]-Tabela13[[#This Row],[Dívidas Previsto]]+Tabela13[[#This Row],[Outros Patrimônios]]</f>
        <v>1330117.6576600196</v>
      </c>
    </row>
    <row r="137" spans="1:24" x14ac:dyDescent="0.3">
      <c r="A137" s="6">
        <v>49035</v>
      </c>
      <c r="B137" s="21"/>
      <c r="C137" s="20"/>
      <c r="D137" s="1" t="str">
        <f>IF(Tabela13[[#This Row],[Despesa Realizado]]="","",Tabela13[[#This Row],[Receita Realizado]]-Tabela13[[#This Row],[Despesa Realizado]])</f>
        <v/>
      </c>
      <c r="E137" s="15"/>
      <c r="F137" s="7">
        <f>IF(Tabela13[[#This Row],[Aporte Realizado]]="",0,Tabela13[[#This Row],[Investimentos Realizado]]-I136-Tabela13[[#This Row],[Aporte Realizado]])</f>
        <v>0</v>
      </c>
      <c r="G137" s="5" t="str">
        <f>IF(Tabela13[[#This Row],[Aporte Realizado]]="","",Tabela13[[#This Row],[Rendimento Realizado R$]]/(Tabela13[[#This Row],[Investimentos Realizado]]-(Tabela13[[#This Row],[Aporte Realizado]])))</f>
        <v/>
      </c>
      <c r="H137" s="16"/>
      <c r="I137" s="17"/>
      <c r="J137" s="17"/>
      <c r="K137" s="17"/>
      <c r="L137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7" s="17">
        <v>18000</v>
      </c>
      <c r="N137" s="17">
        <v>15200</v>
      </c>
      <c r="O137" s="8">
        <f>Tabela13[[#This Row],[Receita Previsto]]-Tabela13[[#This Row],[Despesa Previsto]]</f>
        <v>2800</v>
      </c>
      <c r="P137" s="8">
        <f>Tabela13[[#This Row],[Receita Previsto]]-Tabela13[[#This Row],[Despesa Previsto]]</f>
        <v>2800</v>
      </c>
      <c r="Q137" s="1">
        <f t="shared" si="10"/>
        <v>10349.012809501299</v>
      </c>
      <c r="R137" s="5">
        <v>8.8999999999999999E-3</v>
      </c>
      <c r="S137" s="7">
        <f>S136+Q137+Tabela13[[#This Row],[Geração Caixa Previsto]]+Tabela13[[#This Row],[Aporte Previsto]]</f>
        <v>1178759.4408433551</v>
      </c>
      <c r="T137" s="15">
        <f t="shared" si="11"/>
        <v>103073.98029261007</v>
      </c>
      <c r="U137" s="15">
        <f t="shared" si="13"/>
        <v>241576.25764590397</v>
      </c>
      <c r="V137" s="15">
        <f t="shared" si="12"/>
        <v>29312.728182468494</v>
      </c>
      <c r="W137" s="1">
        <f>Tabela13[[#This Row],[Apto Previsto]]+Tabela13[[#This Row],[Carro Previsto]]</f>
        <v>270888.98582837248</v>
      </c>
      <c r="X137" s="1">
        <f>Tabela13[[#This Row],[ Investimento Previsto]]-Tabela13[[#This Row],[Dívidas Previsto]]+Tabela13[[#This Row],[Outros Patrimônios]]</f>
        <v>1346574.4463791174</v>
      </c>
    </row>
    <row r="138" spans="1:24" x14ac:dyDescent="0.3">
      <c r="A138" s="6">
        <v>49065</v>
      </c>
      <c r="B138" s="21"/>
      <c r="C138" s="20"/>
      <c r="D138" s="1" t="str">
        <f>IF(Tabela13[[#This Row],[Despesa Realizado]]="","",Tabela13[[#This Row],[Receita Realizado]]-Tabela13[[#This Row],[Despesa Realizado]])</f>
        <v/>
      </c>
      <c r="E138" s="15"/>
      <c r="F138" s="7">
        <f>IF(Tabela13[[#This Row],[Aporte Realizado]]="",0,Tabela13[[#This Row],[Investimentos Realizado]]-I137-Tabela13[[#This Row],[Aporte Realizado]])</f>
        <v>0</v>
      </c>
      <c r="G138" s="5" t="str">
        <f>IF(Tabela13[[#This Row],[Aporte Realizado]]="","",Tabela13[[#This Row],[Rendimento Realizado R$]]/(Tabela13[[#This Row],[Investimentos Realizado]]-(Tabela13[[#This Row],[Aporte Realizado]])))</f>
        <v/>
      </c>
      <c r="H138" s="16"/>
      <c r="I138" s="17"/>
      <c r="J138" s="17"/>
      <c r="K138" s="17"/>
      <c r="L138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8" s="17">
        <v>18000</v>
      </c>
      <c r="N138" s="17">
        <v>15200</v>
      </c>
      <c r="O138" s="8">
        <f>Tabela13[[#This Row],[Receita Previsto]]-Tabela13[[#This Row],[Despesa Previsto]]</f>
        <v>2800</v>
      </c>
      <c r="P138" s="8">
        <f>Tabela13[[#This Row],[Receita Previsto]]-Tabela13[[#This Row],[Despesa Previsto]]</f>
        <v>2800</v>
      </c>
      <c r="Q138" s="1">
        <f t="shared" si="10"/>
        <v>10490.95902350586</v>
      </c>
      <c r="R138" s="5">
        <v>8.8999999999999999E-3</v>
      </c>
      <c r="S138" s="7">
        <f>S137+Q138+Tabela13[[#This Row],[Geração Caixa Previsto]]+Tabela13[[#This Row],[Aporte Previsto]]</f>
        <v>1194850.3998668611</v>
      </c>
      <c r="T138" s="15">
        <f t="shared" si="11"/>
        <v>102836.91013793707</v>
      </c>
      <c r="U138" s="15">
        <f t="shared" si="13"/>
        <v>241914.46440660825</v>
      </c>
      <c r="V138" s="15">
        <f t="shared" si="12"/>
        <v>29245.308907648818</v>
      </c>
      <c r="W138" s="1">
        <f>Tabela13[[#This Row],[Apto Previsto]]+Tabela13[[#This Row],[Carro Previsto]]</f>
        <v>271159.77331425709</v>
      </c>
      <c r="X138" s="1">
        <f>Tabela13[[#This Row],[ Investimento Previsto]]-Tabela13[[#This Row],[Dívidas Previsto]]+Tabela13[[#This Row],[Outros Patrimônios]]</f>
        <v>1363173.263043181</v>
      </c>
    </row>
    <row r="139" spans="1:24" x14ac:dyDescent="0.3">
      <c r="A139" s="6">
        <v>49096</v>
      </c>
      <c r="B139" s="21"/>
      <c r="C139" s="20"/>
      <c r="D139" s="1" t="str">
        <f>IF(Tabela13[[#This Row],[Despesa Realizado]]="","",Tabela13[[#This Row],[Receita Realizado]]-Tabela13[[#This Row],[Despesa Realizado]])</f>
        <v/>
      </c>
      <c r="E139" s="15"/>
      <c r="F139" s="7">
        <f>IF(Tabela13[[#This Row],[Aporte Realizado]]="",0,Tabela13[[#This Row],[Investimentos Realizado]]-I138-Tabela13[[#This Row],[Aporte Realizado]])</f>
        <v>0</v>
      </c>
      <c r="G139" s="5" t="str">
        <f>IF(Tabela13[[#This Row],[Aporte Realizado]]="","",Tabela13[[#This Row],[Rendimento Realizado R$]]/(Tabela13[[#This Row],[Investimentos Realizado]]-(Tabela13[[#This Row],[Aporte Realizado]])))</f>
        <v/>
      </c>
      <c r="H139" s="16"/>
      <c r="I139" s="17"/>
      <c r="J139" s="17"/>
      <c r="K139" s="17"/>
      <c r="L139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39" s="17">
        <v>18000</v>
      </c>
      <c r="N139" s="17">
        <v>15200</v>
      </c>
      <c r="O139" s="8">
        <f>Tabela13[[#This Row],[Receita Previsto]]-Tabela13[[#This Row],[Despesa Previsto]]</f>
        <v>2800</v>
      </c>
      <c r="P139" s="8">
        <f>Tabela13[[#This Row],[Receita Previsto]]-Tabela13[[#This Row],[Despesa Previsto]]</f>
        <v>2800</v>
      </c>
      <c r="Q139" s="1">
        <f t="shared" si="10"/>
        <v>10634.168558815063</v>
      </c>
      <c r="R139" s="5">
        <v>8.8999999999999999E-3</v>
      </c>
      <c r="S139" s="7">
        <f>S138+Q139+Tabela13[[#This Row],[Geração Caixa Previsto]]+Tabela13[[#This Row],[Aporte Previsto]]</f>
        <v>1211084.5684256761</v>
      </c>
      <c r="T139" s="15">
        <f t="shared" si="11"/>
        <v>102600.38524461981</v>
      </c>
      <c r="U139" s="15">
        <f t="shared" si="13"/>
        <v>242253.14465677753</v>
      </c>
      <c r="V139" s="15">
        <f t="shared" si="12"/>
        <v>29178.044697161225</v>
      </c>
      <c r="W139" s="1">
        <f>Tabela13[[#This Row],[Apto Previsto]]+Tabela13[[#This Row],[Carro Previsto]]</f>
        <v>271431.18935393874</v>
      </c>
      <c r="X139" s="1">
        <f>Tabela13[[#This Row],[ Investimento Previsto]]-Tabela13[[#This Row],[Dívidas Previsto]]+Tabela13[[#This Row],[Outros Patrimônios]]</f>
        <v>1379915.372534995</v>
      </c>
    </row>
    <row r="140" spans="1:24" x14ac:dyDescent="0.3">
      <c r="A140" s="6">
        <v>49126</v>
      </c>
      <c r="B140" s="21"/>
      <c r="C140" s="20"/>
      <c r="D140" s="1" t="str">
        <f>IF(Tabela13[[#This Row],[Despesa Realizado]]="","",Tabela13[[#This Row],[Receita Realizado]]-Tabela13[[#This Row],[Despesa Realizado]])</f>
        <v/>
      </c>
      <c r="E140" s="15"/>
      <c r="F140" s="7">
        <f>IF(Tabela13[[#This Row],[Aporte Realizado]]="",0,Tabela13[[#This Row],[Investimentos Realizado]]-I139-Tabela13[[#This Row],[Aporte Realizado]])</f>
        <v>0</v>
      </c>
      <c r="G140" s="5" t="str">
        <f>IF(Tabela13[[#This Row],[Aporte Realizado]]="","",Tabela13[[#This Row],[Rendimento Realizado R$]]/(Tabela13[[#This Row],[Investimentos Realizado]]-(Tabela13[[#This Row],[Aporte Realizado]])))</f>
        <v/>
      </c>
      <c r="H140" s="16"/>
      <c r="I140" s="17"/>
      <c r="J140" s="17"/>
      <c r="K140" s="17"/>
      <c r="L140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0" s="17">
        <v>18000</v>
      </c>
      <c r="N140" s="17">
        <v>15200</v>
      </c>
      <c r="O140" s="8">
        <f>Tabela13[[#This Row],[Receita Previsto]]-Tabela13[[#This Row],[Despesa Previsto]]</f>
        <v>2800</v>
      </c>
      <c r="P140" s="8">
        <f>Tabela13[[#This Row],[Receita Previsto]]-Tabela13[[#This Row],[Despesa Previsto]]</f>
        <v>2800</v>
      </c>
      <c r="Q140" s="1">
        <f t="shared" si="10"/>
        <v>10778.652658988518</v>
      </c>
      <c r="R140" s="5">
        <v>8.8999999999999999E-3</v>
      </c>
      <c r="S140" s="7">
        <f>S139+Q140+Tabela13[[#This Row],[Geração Caixa Previsto]]+Tabela13[[#This Row],[Aporte Previsto]]</f>
        <v>1227463.2210846646</v>
      </c>
      <c r="T140" s="15">
        <f t="shared" si="11"/>
        <v>102364.40435855719</v>
      </c>
      <c r="U140" s="15">
        <f t="shared" si="13"/>
        <v>242592.29905929705</v>
      </c>
      <c r="V140" s="15">
        <f t="shared" si="12"/>
        <v>29110.935194357757</v>
      </c>
      <c r="W140" s="1">
        <f>Tabela13[[#This Row],[Apto Previsto]]+Tabela13[[#This Row],[Carro Previsto]]</f>
        <v>271703.23425365478</v>
      </c>
      <c r="X140" s="1">
        <f>Tabela13[[#This Row],[ Investimento Previsto]]-Tabela13[[#This Row],[Dívidas Previsto]]+Tabela13[[#This Row],[Outros Patrimônios]]</f>
        <v>1396802.0509797621</v>
      </c>
    </row>
    <row r="141" spans="1:24" x14ac:dyDescent="0.3">
      <c r="A141" s="6">
        <v>49157</v>
      </c>
      <c r="B141" s="21"/>
      <c r="C141" s="20"/>
      <c r="D141" s="1" t="str">
        <f>IF(Tabela13[[#This Row],[Despesa Realizado]]="","",Tabela13[[#This Row],[Receita Realizado]]-Tabela13[[#This Row],[Despesa Realizado]])</f>
        <v/>
      </c>
      <c r="E141" s="15"/>
      <c r="F141" s="7">
        <f>IF(Tabela13[[#This Row],[Aporte Realizado]]="",0,Tabela13[[#This Row],[Investimentos Realizado]]-I140-Tabela13[[#This Row],[Aporte Realizado]])</f>
        <v>0</v>
      </c>
      <c r="G141" s="5" t="str">
        <f>IF(Tabela13[[#This Row],[Aporte Realizado]]="","",Tabela13[[#This Row],[Rendimento Realizado R$]]/(Tabela13[[#This Row],[Investimentos Realizado]]-(Tabela13[[#This Row],[Aporte Realizado]])))</f>
        <v/>
      </c>
      <c r="H141" s="16"/>
      <c r="I141" s="17"/>
      <c r="J141" s="17"/>
      <c r="K141" s="17"/>
      <c r="L141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1" s="17">
        <v>18000</v>
      </c>
      <c r="N141" s="17">
        <v>15200</v>
      </c>
      <c r="O141" s="8">
        <f>Tabela13[[#This Row],[Receita Previsto]]-Tabela13[[#This Row],[Despesa Previsto]]</f>
        <v>2800</v>
      </c>
      <c r="P141" s="8">
        <f>Tabela13[[#This Row],[Receita Previsto]]-Tabela13[[#This Row],[Despesa Previsto]]</f>
        <v>2800</v>
      </c>
      <c r="Q141" s="1">
        <f t="shared" si="10"/>
        <v>10924.422667653515</v>
      </c>
      <c r="R141" s="5">
        <v>8.8999999999999999E-3</v>
      </c>
      <c r="S141" s="7">
        <f>S140+Q141+Tabela13[[#This Row],[Geração Caixa Previsto]]+Tabela13[[#This Row],[Aporte Previsto]]</f>
        <v>1243987.6437523181</v>
      </c>
      <c r="T141" s="15">
        <f t="shared" si="11"/>
        <v>102128.96622853252</v>
      </c>
      <c r="U141" s="15">
        <f t="shared" si="13"/>
        <v>242931.92827798007</v>
      </c>
      <c r="V141" s="15">
        <f t="shared" si="12"/>
        <v>29043.980043410735</v>
      </c>
      <c r="W141" s="1">
        <f>Tabela13[[#This Row],[Apto Previsto]]+Tabela13[[#This Row],[Carro Previsto]]</f>
        <v>271975.9083213908</v>
      </c>
      <c r="X141" s="1">
        <f>Tabela13[[#This Row],[ Investimento Previsto]]-Tabela13[[#This Row],[Dívidas Previsto]]+Tabela13[[#This Row],[Outros Patrimônios]]</f>
        <v>1413834.5858451764</v>
      </c>
    </row>
    <row r="142" spans="1:24" x14ac:dyDescent="0.3">
      <c r="A142" s="6">
        <v>49188</v>
      </c>
      <c r="B142" s="21"/>
      <c r="C142" s="20"/>
      <c r="D142" s="1" t="str">
        <f>IF(Tabela13[[#This Row],[Despesa Realizado]]="","",Tabela13[[#This Row],[Receita Realizado]]-Tabela13[[#This Row],[Despesa Realizado]])</f>
        <v/>
      </c>
      <c r="E142" s="15"/>
      <c r="F142" s="7">
        <f>IF(Tabela13[[#This Row],[Aporte Realizado]]="",0,Tabela13[[#This Row],[Investimentos Realizado]]-I141-Tabela13[[#This Row],[Aporte Realizado]])</f>
        <v>0</v>
      </c>
      <c r="G142" s="5" t="str">
        <f>IF(Tabela13[[#This Row],[Aporte Realizado]]="","",Tabela13[[#This Row],[Rendimento Realizado R$]]/(Tabela13[[#This Row],[Investimentos Realizado]]-(Tabela13[[#This Row],[Aporte Realizado]])))</f>
        <v/>
      </c>
      <c r="H142" s="16"/>
      <c r="I142" s="17"/>
      <c r="J142" s="17"/>
      <c r="K142" s="17"/>
      <c r="L142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2" s="17">
        <v>18000</v>
      </c>
      <c r="N142" s="17">
        <v>15200</v>
      </c>
      <c r="O142" s="8">
        <f>Tabela13[[#This Row],[Receita Previsto]]-Tabela13[[#This Row],[Despesa Previsto]]</f>
        <v>2800</v>
      </c>
      <c r="P142" s="8">
        <f>Tabela13[[#This Row],[Receita Previsto]]-Tabela13[[#This Row],[Despesa Previsto]]</f>
        <v>2800</v>
      </c>
      <c r="Q142" s="1">
        <f t="shared" si="10"/>
        <v>11071.490029395631</v>
      </c>
      <c r="R142" s="5">
        <v>8.8999999999999999E-3</v>
      </c>
      <c r="S142" s="7">
        <f>S141+Q142+Tabela13[[#This Row],[Geração Caixa Previsto]]+Tabela13[[#This Row],[Aporte Previsto]]</f>
        <v>1260659.1337817137</v>
      </c>
      <c r="T142" s="15">
        <f t="shared" si="11"/>
        <v>101894.06960620689</v>
      </c>
      <c r="U142" s="15">
        <f t="shared" si="13"/>
        <v>243272.03297756927</v>
      </c>
      <c r="V142" s="15">
        <f t="shared" si="12"/>
        <v>28977.17888931089</v>
      </c>
      <c r="W142" s="1">
        <f>Tabela13[[#This Row],[Apto Previsto]]+Tabela13[[#This Row],[Carro Previsto]]</f>
        <v>272249.21186688018</v>
      </c>
      <c r="X142" s="1">
        <f>Tabela13[[#This Row],[ Investimento Previsto]]-Tabela13[[#This Row],[Dívidas Previsto]]+Tabela13[[#This Row],[Outros Patrimônios]]</f>
        <v>1431014.2760423869</v>
      </c>
    </row>
    <row r="143" spans="1:24" x14ac:dyDescent="0.3">
      <c r="A143" s="6">
        <v>49218</v>
      </c>
      <c r="B143" s="21"/>
      <c r="C143" s="20"/>
      <c r="D143" s="1" t="str">
        <f>IF(Tabela13[[#This Row],[Despesa Realizado]]="","",Tabela13[[#This Row],[Receita Realizado]]-Tabela13[[#This Row],[Despesa Realizado]])</f>
        <v/>
      </c>
      <c r="E143" s="15"/>
      <c r="F143" s="7">
        <f>IF(Tabela13[[#This Row],[Aporte Realizado]]="",0,Tabela13[[#This Row],[Investimentos Realizado]]-I142-Tabela13[[#This Row],[Aporte Realizado]])</f>
        <v>0</v>
      </c>
      <c r="G143" s="5" t="str">
        <f>IF(Tabela13[[#This Row],[Aporte Realizado]]="","",Tabela13[[#This Row],[Rendimento Realizado R$]]/(Tabela13[[#This Row],[Investimentos Realizado]]-(Tabela13[[#This Row],[Aporte Realizado]])))</f>
        <v/>
      </c>
      <c r="H143" s="16"/>
      <c r="I143" s="17"/>
      <c r="J143" s="17"/>
      <c r="K143" s="17"/>
      <c r="L143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3" s="17">
        <v>18000</v>
      </c>
      <c r="N143" s="17">
        <v>15200</v>
      </c>
      <c r="O143" s="8">
        <f>Tabela13[[#This Row],[Receita Previsto]]-Tabela13[[#This Row],[Despesa Previsto]]</f>
        <v>2800</v>
      </c>
      <c r="P143" s="8">
        <f>Tabela13[[#This Row],[Receita Previsto]]-Tabela13[[#This Row],[Despesa Previsto]]</f>
        <v>2800</v>
      </c>
      <c r="Q143" s="1">
        <f t="shared" si="10"/>
        <v>11219.866290657252</v>
      </c>
      <c r="R143" s="5">
        <v>8.8999999999999999E-3</v>
      </c>
      <c r="S143" s="7">
        <f>S142+Q143+Tabela13[[#This Row],[Geração Caixa Previsto]]+Tabela13[[#This Row],[Aporte Previsto]]</f>
        <v>1277479.000072371</v>
      </c>
      <c r="T143" s="15">
        <f t="shared" si="11"/>
        <v>101659.71324611262</v>
      </c>
      <c r="U143" s="15">
        <f t="shared" si="13"/>
        <v>243612.61382373789</v>
      </c>
      <c r="V143" s="15">
        <f t="shared" si="12"/>
        <v>28910.531377865474</v>
      </c>
      <c r="W143" s="1">
        <f>Tabela13[[#This Row],[Apto Previsto]]+Tabela13[[#This Row],[Carro Previsto]]</f>
        <v>272523.14520160336</v>
      </c>
      <c r="X143" s="1">
        <f>Tabela13[[#This Row],[ Investimento Previsto]]-Tabela13[[#This Row],[Dívidas Previsto]]+Tabela13[[#This Row],[Outros Patrimônios]]</f>
        <v>1448342.4320278617</v>
      </c>
    </row>
    <row r="144" spans="1:24" x14ac:dyDescent="0.3">
      <c r="A144" s="6">
        <v>49249</v>
      </c>
      <c r="B144" s="21"/>
      <c r="C144" s="20"/>
      <c r="D144" s="1" t="str">
        <f>IF(Tabela13[[#This Row],[Despesa Realizado]]="","",Tabela13[[#This Row],[Receita Realizado]]-Tabela13[[#This Row],[Despesa Realizado]])</f>
        <v/>
      </c>
      <c r="E144" s="15"/>
      <c r="F144" s="7">
        <f>IF(Tabela13[[#This Row],[Aporte Realizado]]="",0,Tabela13[[#This Row],[Investimentos Realizado]]-I143-Tabela13[[#This Row],[Aporte Realizado]])</f>
        <v>0</v>
      </c>
      <c r="G144" s="5" t="str">
        <f>IF(Tabela13[[#This Row],[Aporte Realizado]]="","",Tabela13[[#This Row],[Rendimento Realizado R$]]/(Tabela13[[#This Row],[Investimentos Realizado]]-(Tabela13[[#This Row],[Aporte Realizado]])))</f>
        <v/>
      </c>
      <c r="H144" s="16"/>
      <c r="I144" s="17"/>
      <c r="J144" s="17"/>
      <c r="K144" s="17"/>
      <c r="L144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4" s="17">
        <v>18000</v>
      </c>
      <c r="N144" s="17">
        <v>15200</v>
      </c>
      <c r="O144" s="8">
        <f>Tabela13[[#This Row],[Receita Previsto]]-Tabela13[[#This Row],[Despesa Previsto]]</f>
        <v>2800</v>
      </c>
      <c r="P144" s="8">
        <f>Tabela13[[#This Row],[Receita Previsto]]-Tabela13[[#This Row],[Despesa Previsto]]</f>
        <v>2800</v>
      </c>
      <c r="Q144" s="1">
        <f t="shared" si="10"/>
        <v>11369.563100644102</v>
      </c>
      <c r="R144" s="5">
        <v>8.8999999999999999E-3</v>
      </c>
      <c r="S144" s="7">
        <f>S143+Q144+Tabela13[[#This Row],[Geração Caixa Previsto]]+Tabela13[[#This Row],[Aporte Previsto]]</f>
        <v>1294448.5631730151</v>
      </c>
      <c r="T144" s="15">
        <f t="shared" si="11"/>
        <v>101425.89590564655</v>
      </c>
      <c r="U144" s="15">
        <f t="shared" si="13"/>
        <v>243953.67148309114</v>
      </c>
      <c r="V144" s="15">
        <f t="shared" si="12"/>
        <v>28844.037155696384</v>
      </c>
      <c r="W144" s="1">
        <f>Tabela13[[#This Row],[Apto Previsto]]+Tabela13[[#This Row],[Carro Previsto]]</f>
        <v>272797.7086387875</v>
      </c>
      <c r="X144" s="1">
        <f>Tabela13[[#This Row],[ Investimento Previsto]]-Tabela13[[#This Row],[Dívidas Previsto]]+Tabela13[[#This Row],[Outros Patrimônios]]</f>
        <v>1465820.3759061561</v>
      </c>
    </row>
    <row r="145" spans="1:24" x14ac:dyDescent="0.3">
      <c r="A145" s="6">
        <v>49279</v>
      </c>
      <c r="B145" s="21"/>
      <c r="C145" s="20"/>
      <c r="D145" s="1" t="str">
        <f>IF(Tabela13[[#This Row],[Despesa Realizado]]="","",Tabela13[[#This Row],[Receita Realizado]]-Tabela13[[#This Row],[Despesa Realizado]])</f>
        <v/>
      </c>
      <c r="E145" s="15"/>
      <c r="F145" s="7">
        <f>IF(Tabela13[[#This Row],[Aporte Realizado]]="",0,Tabela13[[#This Row],[Investimentos Realizado]]-I144-Tabela13[[#This Row],[Aporte Realizado]])</f>
        <v>0</v>
      </c>
      <c r="G145" s="5" t="str">
        <f>IF(Tabela13[[#This Row],[Aporte Realizado]]="","",Tabela13[[#This Row],[Rendimento Realizado R$]]/(Tabela13[[#This Row],[Investimentos Realizado]]-(Tabela13[[#This Row],[Aporte Realizado]])))</f>
        <v/>
      </c>
      <c r="H145" s="16"/>
      <c r="I145" s="17"/>
      <c r="J145" s="17"/>
      <c r="K145" s="17"/>
      <c r="L145" s="8">
        <f>Tabela13[[#This Row],[Conta Corrente Realizado]]+Tabela13[[#This Row],[Investimentos Realizado]]-Tabela13[[#This Row],[Dívidas Realizado]]+Tabela13[[#This Row],[Outros Patrimônios (carros, lotes, casa etc) Realizado]]</f>
        <v>0</v>
      </c>
      <c r="M145" s="17">
        <v>18000</v>
      </c>
      <c r="N145" s="17">
        <v>15200</v>
      </c>
      <c r="O145" s="8">
        <f>Tabela13[[#This Row],[Receita Previsto]]-Tabela13[[#This Row],[Despesa Previsto]]</f>
        <v>2800</v>
      </c>
      <c r="P145" s="8">
        <f>Tabela13[[#This Row],[Receita Previsto]]-Tabela13[[#This Row],[Despesa Previsto]]</f>
        <v>2800</v>
      </c>
      <c r="Q145" s="1">
        <f t="shared" si="10"/>
        <v>11520.592212239835</v>
      </c>
      <c r="R145" s="5">
        <v>8.8999999999999999E-3</v>
      </c>
      <c r="S145" s="7">
        <f>S144+Q145+Tabela13[[#This Row],[Geração Caixa Previsto]]+Tabela13[[#This Row],[Aporte Previsto]]</f>
        <v>1311569.1553852549</v>
      </c>
      <c r="T145" s="15">
        <f t="shared" si="11"/>
        <v>101192.61634506356</v>
      </c>
      <c r="U145" s="15">
        <f t="shared" si="13"/>
        <v>244295.20662316747</v>
      </c>
      <c r="V145" s="15">
        <f t="shared" si="12"/>
        <v>28777.695870238284</v>
      </c>
      <c r="W145" s="1">
        <f>Tabela13[[#This Row],[Apto Previsto]]+Tabela13[[#This Row],[Carro Previsto]]</f>
        <v>273072.90249340574</v>
      </c>
      <c r="X145" s="1">
        <f>Tabela13[[#This Row],[ Investimento Previsto]]-Tabela13[[#This Row],[Dívidas Previsto]]+Tabela13[[#This Row],[Outros Patrimônios]]</f>
        <v>1483449.4415335972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259F-DC6E-4539-97AC-70FDDB406901}">
  <dimension ref="J64"/>
  <sheetViews>
    <sheetView topLeftCell="A36" zoomScale="97" zoomScaleNormal="97" workbookViewId="0">
      <selection activeCell="Y9" sqref="Y9:Y20"/>
    </sheetView>
  </sheetViews>
  <sheetFormatPr defaultRowHeight="14.4" x14ac:dyDescent="0.3"/>
  <sheetData>
    <row r="64" spans="10:10" x14ac:dyDescent="0.3">
      <c r="J64" t="s">
        <v>81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 2023</vt:lpstr>
      <vt:lpstr>Fluxo de Caixa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Gava</dc:creator>
  <cp:lastModifiedBy>Renato Gava</cp:lastModifiedBy>
  <dcterms:created xsi:type="dcterms:W3CDTF">2015-06-05T18:19:34Z</dcterms:created>
  <dcterms:modified xsi:type="dcterms:W3CDTF">2023-10-21T16:55:16Z</dcterms:modified>
</cp:coreProperties>
</file>